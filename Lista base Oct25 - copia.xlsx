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\Desktop\listas octubre 2025\"/>
    </mc:Choice>
  </mc:AlternateContent>
  <xr:revisionPtr revIDLastSave="0" documentId="13_ncr:1_{49245B4B-8ABA-4B37-AD2B-89D345E7C214}" xr6:coauthVersionLast="47" xr6:coauthVersionMax="47" xr10:uidLastSave="{00000000-0000-0000-0000-000000000000}"/>
  <bookViews>
    <workbookView xWindow="-120" yWindow="-120" windowWidth="20730" windowHeight="11160" xr2:uid="{C4918D39-CFFA-4719-9DC7-12778E0D6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Y3" i="1"/>
  <c r="Y11" i="1" s="1"/>
  <c r="Z3" i="1"/>
  <c r="AB3" i="1"/>
  <c r="AE3" i="1"/>
  <c r="U4" i="1"/>
  <c r="R11" i="1" s="1"/>
  <c r="S11" i="1" s="1"/>
  <c r="U11" i="1" s="1"/>
  <c r="AB11" i="1" s="1"/>
  <c r="Q6" i="1"/>
  <c r="R6" i="1"/>
  <c r="S6" i="1" s="1"/>
  <c r="U6" i="1" s="1"/>
  <c r="AB6" i="1" s="1"/>
  <c r="X6" i="1"/>
  <c r="Y6" i="1"/>
  <c r="Z6" i="1"/>
  <c r="AA6" i="1"/>
  <c r="AE6" i="1"/>
  <c r="AF6" i="1"/>
  <c r="AG6" i="1"/>
  <c r="Q9" i="1"/>
  <c r="X9" i="1"/>
  <c r="Z9" i="1"/>
  <c r="AA9" i="1"/>
  <c r="AE9" i="1"/>
  <c r="AF9" i="1"/>
  <c r="AG9" i="1"/>
  <c r="Q10" i="1"/>
  <c r="R10" i="1"/>
  <c r="S10" i="1" s="1"/>
  <c r="U10" i="1"/>
  <c r="AB10" i="1" s="1"/>
  <c r="X10" i="1"/>
  <c r="Y10" i="1"/>
  <c r="AH10" i="1" s="1"/>
  <c r="Z10" i="1"/>
  <c r="AA10" i="1"/>
  <c r="AE10" i="1"/>
  <c r="AF10" i="1"/>
  <c r="AG10" i="1"/>
  <c r="Q11" i="1"/>
  <c r="X11" i="1"/>
  <c r="AH11" i="1" s="1"/>
  <c r="Z11" i="1"/>
  <c r="AA11" i="1"/>
  <c r="AE11" i="1"/>
  <c r="AF11" i="1"/>
  <c r="AG11" i="1"/>
  <c r="Q12" i="1"/>
  <c r="R12" i="1"/>
  <c r="S12" i="1" s="1"/>
  <c r="U12" i="1" s="1"/>
  <c r="AB12" i="1" s="1"/>
  <c r="X12" i="1"/>
  <c r="Y12" i="1"/>
  <c r="AH12" i="1" s="1"/>
  <c r="Z12" i="1"/>
  <c r="AA12" i="1"/>
  <c r="AE12" i="1"/>
  <c r="AF12" i="1"/>
  <c r="AG12" i="1"/>
  <c r="Q13" i="1"/>
  <c r="X13" i="1"/>
  <c r="Z13" i="1"/>
  <c r="AA13" i="1"/>
  <c r="AE13" i="1"/>
  <c r="AF13" i="1"/>
  <c r="AG13" i="1"/>
  <c r="Q14" i="1"/>
  <c r="R14" i="1"/>
  <c r="S14" i="1" s="1"/>
  <c r="U14" i="1"/>
  <c r="Q17" i="1"/>
  <c r="R17" i="1"/>
  <c r="S17" i="1" s="1"/>
  <c r="U17" i="1" s="1"/>
  <c r="AB17" i="1" s="1"/>
  <c r="X17" i="1"/>
  <c r="Y17" i="1"/>
  <c r="Z17" i="1"/>
  <c r="AA17" i="1"/>
  <c r="AE17" i="1"/>
  <c r="AF17" i="1"/>
  <c r="AG17" i="1"/>
  <c r="Q18" i="1"/>
  <c r="X18" i="1"/>
  <c r="Z18" i="1"/>
  <c r="AA18" i="1"/>
  <c r="AE18" i="1"/>
  <c r="AF18" i="1"/>
  <c r="AG18" i="1"/>
  <c r="Q19" i="1"/>
  <c r="R19" i="1"/>
  <c r="S19" i="1" s="1"/>
  <c r="U19" i="1" s="1"/>
  <c r="AB19" i="1" s="1"/>
  <c r="X19" i="1"/>
  <c r="Y19" i="1"/>
  <c r="Z19" i="1"/>
  <c r="AA19" i="1"/>
  <c r="AE19" i="1"/>
  <c r="AF19" i="1"/>
  <c r="AG19" i="1"/>
  <c r="Q20" i="1"/>
  <c r="X20" i="1"/>
  <c r="Z20" i="1"/>
  <c r="AA20" i="1"/>
  <c r="AE20" i="1"/>
  <c r="AF20" i="1"/>
  <c r="AG20" i="1"/>
  <c r="Q21" i="1"/>
  <c r="R21" i="1"/>
  <c r="S21" i="1" s="1"/>
  <c r="U21" i="1" s="1"/>
  <c r="AB21" i="1" s="1"/>
  <c r="X21" i="1"/>
  <c r="Y21" i="1"/>
  <c r="Z21" i="1"/>
  <c r="AA21" i="1"/>
  <c r="AE21" i="1"/>
  <c r="AF21" i="1"/>
  <c r="AG21" i="1"/>
  <c r="Q22" i="1"/>
  <c r="S22" i="1" s="1"/>
  <c r="U22" i="1" s="1"/>
  <c r="R22" i="1"/>
  <c r="X22" i="1"/>
  <c r="Y22" i="1"/>
  <c r="Z22" i="1"/>
  <c r="AA22" i="1"/>
  <c r="AB22" i="1"/>
  <c r="AE22" i="1"/>
  <c r="AF22" i="1"/>
  <c r="AG22" i="1"/>
  <c r="AH22" i="1"/>
  <c r="Q23" i="1"/>
  <c r="R23" i="1"/>
  <c r="S23" i="1" s="1"/>
  <c r="U23" i="1" s="1"/>
  <c r="AB23" i="1" s="1"/>
  <c r="X23" i="1"/>
  <c r="Y23" i="1"/>
  <c r="Z23" i="1"/>
  <c r="AA23" i="1"/>
  <c r="AE23" i="1"/>
  <c r="AF23" i="1"/>
  <c r="AG23" i="1"/>
  <c r="Q24" i="1"/>
  <c r="X24" i="1"/>
  <c r="Y24" i="1"/>
  <c r="Z24" i="1"/>
  <c r="AA24" i="1"/>
  <c r="AE24" i="1"/>
  <c r="AF24" i="1"/>
  <c r="AG24" i="1"/>
  <c r="Q25" i="1"/>
  <c r="R25" i="1"/>
  <c r="S25" i="1" s="1"/>
  <c r="U25" i="1" s="1"/>
  <c r="AB25" i="1" s="1"/>
  <c r="X25" i="1"/>
  <c r="Y25" i="1"/>
  <c r="Z25" i="1"/>
  <c r="AA25" i="1"/>
  <c r="AE25" i="1"/>
  <c r="AF25" i="1"/>
  <c r="AG25" i="1"/>
  <c r="Q26" i="1"/>
  <c r="S26" i="1" s="1"/>
  <c r="U26" i="1" s="1"/>
  <c r="R26" i="1"/>
  <c r="X26" i="1"/>
  <c r="Y26" i="1"/>
  <c r="Z26" i="1"/>
  <c r="AA26" i="1"/>
  <c r="AB26" i="1"/>
  <c r="AE26" i="1"/>
  <c r="AF26" i="1"/>
  <c r="AG26" i="1"/>
  <c r="AH26" i="1"/>
  <c r="AL26" i="1" s="1"/>
  <c r="Q27" i="1"/>
  <c r="R27" i="1"/>
  <c r="S27" i="1" s="1"/>
  <c r="U27" i="1" s="1"/>
  <c r="AB27" i="1" s="1"/>
  <c r="X27" i="1"/>
  <c r="Y27" i="1"/>
  <c r="Z27" i="1"/>
  <c r="AA27" i="1"/>
  <c r="AE27" i="1"/>
  <c r="AF27" i="1"/>
  <c r="AG27" i="1"/>
  <c r="Q30" i="1"/>
  <c r="R30" i="1"/>
  <c r="S30" i="1"/>
  <c r="U30" i="1" s="1"/>
  <c r="AB30" i="1" s="1"/>
  <c r="X30" i="1"/>
  <c r="Y30" i="1"/>
  <c r="Z30" i="1"/>
  <c r="AA30" i="1"/>
  <c r="AE30" i="1"/>
  <c r="AF30" i="1"/>
  <c r="AG30" i="1"/>
  <c r="Q31" i="1"/>
  <c r="R31" i="1"/>
  <c r="S31" i="1" s="1"/>
  <c r="U31" i="1"/>
  <c r="AB31" i="1" s="1"/>
  <c r="X31" i="1"/>
  <c r="Y31" i="1"/>
  <c r="Z31" i="1"/>
  <c r="AA31" i="1"/>
  <c r="AH31" i="1" s="1"/>
  <c r="AD31" i="1"/>
  <c r="AE31" i="1"/>
  <c r="AF31" i="1"/>
  <c r="AG31" i="1"/>
  <c r="Q32" i="1"/>
  <c r="R32" i="1"/>
  <c r="S32" i="1" s="1"/>
  <c r="U32" i="1" s="1"/>
  <c r="AB32" i="1" s="1"/>
  <c r="X32" i="1"/>
  <c r="Y32" i="1"/>
  <c r="Z32" i="1"/>
  <c r="AA32" i="1"/>
  <c r="AD32" i="1"/>
  <c r="AE32" i="1"/>
  <c r="AF32" i="1"/>
  <c r="AG32" i="1"/>
  <c r="Q33" i="1"/>
  <c r="R33" i="1"/>
  <c r="S33" i="1" s="1"/>
  <c r="U33" i="1" s="1"/>
  <c r="AB33" i="1" s="1"/>
  <c r="X33" i="1"/>
  <c r="Y33" i="1"/>
  <c r="AH33" i="1" s="1"/>
  <c r="Z33" i="1"/>
  <c r="AA33" i="1"/>
  <c r="AE33" i="1"/>
  <c r="AF33" i="1"/>
  <c r="AG33" i="1"/>
  <c r="Q34" i="1"/>
  <c r="S34" i="1" s="1"/>
  <c r="U34" i="1" s="1"/>
  <c r="R34" i="1"/>
  <c r="X34" i="1"/>
  <c r="Y34" i="1"/>
  <c r="Z34" i="1"/>
  <c r="AA34" i="1"/>
  <c r="AB34" i="1"/>
  <c r="AE34" i="1"/>
  <c r="AF34" i="1"/>
  <c r="AG34" i="1"/>
  <c r="AH34" i="1"/>
  <c r="AL34" i="1" s="1"/>
  <c r="AN34" i="1"/>
  <c r="Q35" i="1"/>
  <c r="R35" i="1"/>
  <c r="S35" i="1" s="1"/>
  <c r="U35" i="1" s="1"/>
  <c r="AB35" i="1" s="1"/>
  <c r="X35" i="1"/>
  <c r="Y35" i="1"/>
  <c r="Z35" i="1"/>
  <c r="AA35" i="1"/>
  <c r="AE35" i="1"/>
  <c r="AF35" i="1"/>
  <c r="AG35" i="1"/>
  <c r="Q36" i="1"/>
  <c r="R36" i="1"/>
  <c r="S36" i="1"/>
  <c r="U36" i="1" s="1"/>
  <c r="AB36" i="1" s="1"/>
  <c r="AH36" i="1" s="1"/>
  <c r="X36" i="1"/>
  <c r="Y36" i="1"/>
  <c r="Z36" i="1"/>
  <c r="AA36" i="1"/>
  <c r="AE36" i="1"/>
  <c r="AF36" i="1"/>
  <c r="AG36" i="1"/>
  <c r="AN36" i="1"/>
  <c r="Q37" i="1"/>
  <c r="R37" i="1"/>
  <c r="S37" i="1" s="1"/>
  <c r="U37" i="1" s="1"/>
  <c r="AB37" i="1" s="1"/>
  <c r="X37" i="1"/>
  <c r="Y37" i="1"/>
  <c r="Z37" i="1"/>
  <c r="AA37" i="1"/>
  <c r="AE37" i="1"/>
  <c r="AF37" i="1"/>
  <c r="AG37" i="1"/>
  <c r="Q38" i="1"/>
  <c r="R38" i="1"/>
  <c r="S38" i="1"/>
  <c r="U38" i="1" s="1"/>
  <c r="AB38" i="1" s="1"/>
  <c r="AH38" i="1" s="1"/>
  <c r="X38" i="1"/>
  <c r="Y38" i="1"/>
  <c r="Z38" i="1"/>
  <c r="AA38" i="1"/>
  <c r="AE38" i="1"/>
  <c r="AF38" i="1"/>
  <c r="AG38" i="1"/>
  <c r="AN38" i="1"/>
  <c r="Q39" i="1"/>
  <c r="R39" i="1"/>
  <c r="S39" i="1" s="1"/>
  <c r="U39" i="1" s="1"/>
  <c r="AB39" i="1" s="1"/>
  <c r="X39" i="1"/>
  <c r="Y39" i="1"/>
  <c r="Z39" i="1"/>
  <c r="AA39" i="1"/>
  <c r="AE39" i="1"/>
  <c r="AF39" i="1"/>
  <c r="AG39" i="1"/>
  <c r="Q40" i="1"/>
  <c r="R40" i="1"/>
  <c r="S40" i="1"/>
  <c r="U40" i="1" s="1"/>
  <c r="AB40" i="1" s="1"/>
  <c r="X40" i="1"/>
  <c r="Y40" i="1"/>
  <c r="Z40" i="1"/>
  <c r="AA40" i="1"/>
  <c r="AD40" i="1"/>
  <c r="AE40" i="1"/>
  <c r="AF40" i="1"/>
  <c r="AG40" i="1"/>
  <c r="Q41" i="1"/>
  <c r="S41" i="1" s="1"/>
  <c r="U41" i="1" s="1"/>
  <c r="R41" i="1"/>
  <c r="Q42" i="1"/>
  <c r="S42" i="1" s="1"/>
  <c r="U42" i="1" s="1"/>
  <c r="AB42" i="1" s="1"/>
  <c r="R42" i="1"/>
  <c r="X42" i="1"/>
  <c r="Y42" i="1"/>
  <c r="Z42" i="1"/>
  <c r="AH42" i="1" s="1"/>
  <c r="AA42" i="1"/>
  <c r="AE42" i="1"/>
  <c r="AF42" i="1"/>
  <c r="AG42" i="1"/>
  <c r="Q43" i="1"/>
  <c r="R43" i="1"/>
  <c r="S43" i="1" s="1"/>
  <c r="U43" i="1" s="1"/>
  <c r="X43" i="1"/>
  <c r="Y43" i="1"/>
  <c r="Z43" i="1"/>
  <c r="AA43" i="1"/>
  <c r="AD43" i="1"/>
  <c r="AE43" i="1"/>
  <c r="AF43" i="1"/>
  <c r="AG43" i="1"/>
  <c r="Q44" i="1"/>
  <c r="R44" i="1"/>
  <c r="S44" i="1" s="1"/>
  <c r="U44" i="1"/>
  <c r="Q45" i="1"/>
  <c r="R45" i="1"/>
  <c r="S45" i="1" s="1"/>
  <c r="U45" i="1"/>
  <c r="X45" i="1"/>
  <c r="Y45" i="1"/>
  <c r="Z45" i="1"/>
  <c r="AA45" i="1"/>
  <c r="AD45" i="1"/>
  <c r="AE45" i="1"/>
  <c r="AF45" i="1"/>
  <c r="AG45" i="1"/>
  <c r="Q46" i="1"/>
  <c r="R46" i="1"/>
  <c r="Q49" i="1"/>
  <c r="R49" i="1"/>
  <c r="X49" i="1"/>
  <c r="Y49" i="1"/>
  <c r="Z49" i="1"/>
  <c r="AA49" i="1"/>
  <c r="AE49" i="1"/>
  <c r="AF49" i="1"/>
  <c r="AG49" i="1"/>
  <c r="Q50" i="1"/>
  <c r="R50" i="1"/>
  <c r="S50" i="1" s="1"/>
  <c r="U50" i="1" s="1"/>
  <c r="AB50" i="1" s="1"/>
  <c r="X50" i="1"/>
  <c r="Y50" i="1"/>
  <c r="Z50" i="1"/>
  <c r="AA50" i="1"/>
  <c r="AD50" i="1"/>
  <c r="AE50" i="1"/>
  <c r="AF50" i="1"/>
  <c r="AG50" i="1"/>
  <c r="AH50" i="1"/>
  <c r="Q51" i="1"/>
  <c r="R51" i="1"/>
  <c r="S51" i="1" s="1"/>
  <c r="U51" i="1" s="1"/>
  <c r="AB51" i="1" s="1"/>
  <c r="X51" i="1"/>
  <c r="Y51" i="1"/>
  <c r="Z51" i="1"/>
  <c r="AA51" i="1"/>
  <c r="AE51" i="1"/>
  <c r="AF51" i="1"/>
  <c r="AG51" i="1"/>
  <c r="Q52" i="1"/>
  <c r="R52" i="1"/>
  <c r="S52" i="1"/>
  <c r="U52" i="1" s="1"/>
  <c r="AB52" i="1" s="1"/>
  <c r="X52" i="1"/>
  <c r="Y52" i="1"/>
  <c r="Z52" i="1"/>
  <c r="AA52" i="1"/>
  <c r="AE52" i="1"/>
  <c r="AF52" i="1"/>
  <c r="AG52" i="1"/>
  <c r="Q53" i="1"/>
  <c r="R53" i="1"/>
  <c r="S53" i="1" s="1"/>
  <c r="U53" i="1"/>
  <c r="AB53" i="1" s="1"/>
  <c r="X53" i="1"/>
  <c r="Y53" i="1"/>
  <c r="Z53" i="1"/>
  <c r="AA53" i="1"/>
  <c r="AH53" i="1" s="1"/>
  <c r="AE53" i="1"/>
  <c r="AF53" i="1"/>
  <c r="AG53" i="1"/>
  <c r="AK53" i="1"/>
  <c r="Q54" i="1"/>
  <c r="R54" i="1"/>
  <c r="X54" i="1"/>
  <c r="Y54" i="1"/>
  <c r="Z54" i="1"/>
  <c r="AA54" i="1"/>
  <c r="AE54" i="1"/>
  <c r="AF54" i="1"/>
  <c r="AG54" i="1"/>
  <c r="Q55" i="1"/>
  <c r="R55" i="1"/>
  <c r="S55" i="1" s="1"/>
  <c r="U55" i="1" s="1"/>
  <c r="AB55" i="1" s="1"/>
  <c r="X55" i="1"/>
  <c r="Y55" i="1"/>
  <c r="AH55" i="1" s="1"/>
  <c r="Z55" i="1"/>
  <c r="AA55" i="1"/>
  <c r="AD55" i="1"/>
  <c r="AE55" i="1"/>
  <c r="AF55" i="1"/>
  <c r="AG55" i="1"/>
  <c r="Q56" i="1"/>
  <c r="R56" i="1"/>
  <c r="S56" i="1" s="1"/>
  <c r="U56" i="1" s="1"/>
  <c r="AB56" i="1" s="1"/>
  <c r="X56" i="1"/>
  <c r="Y56" i="1"/>
  <c r="AH56" i="1" s="1"/>
  <c r="Z56" i="1"/>
  <c r="AA56" i="1"/>
  <c r="AE56" i="1"/>
  <c r="AF56" i="1"/>
  <c r="AG56" i="1"/>
  <c r="Q57" i="1"/>
  <c r="R57" i="1"/>
  <c r="S57" i="1"/>
  <c r="U57" i="1" s="1"/>
  <c r="AB57" i="1" s="1"/>
  <c r="X57" i="1"/>
  <c r="Y57" i="1"/>
  <c r="Z57" i="1"/>
  <c r="AH57" i="1" s="1"/>
  <c r="AA57" i="1"/>
  <c r="AE57" i="1"/>
  <c r="AF57" i="1"/>
  <c r="AG57" i="1"/>
  <c r="Q60" i="1"/>
  <c r="R60" i="1"/>
  <c r="S60" i="1" s="1"/>
  <c r="U60" i="1" s="1"/>
  <c r="AB60" i="1" s="1"/>
  <c r="X60" i="1"/>
  <c r="Y60" i="1"/>
  <c r="Z60" i="1"/>
  <c r="AA60" i="1"/>
  <c r="AD60" i="1"/>
  <c r="AE60" i="1"/>
  <c r="AF60" i="1"/>
  <c r="AG60" i="1"/>
  <c r="Q61" i="1"/>
  <c r="R61" i="1"/>
  <c r="S61" i="1" s="1"/>
  <c r="U61" i="1"/>
  <c r="X61" i="1"/>
  <c r="Y61" i="1"/>
  <c r="Z61" i="1"/>
  <c r="AA61" i="1"/>
  <c r="AE61" i="1"/>
  <c r="AF61" i="1"/>
  <c r="AG61" i="1"/>
  <c r="Q62" i="1"/>
  <c r="R62" i="1"/>
  <c r="S62" i="1" s="1"/>
  <c r="U62" i="1" s="1"/>
  <c r="Q63" i="1"/>
  <c r="R63" i="1"/>
  <c r="S63" i="1" s="1"/>
  <c r="U63" i="1" s="1"/>
  <c r="Q64" i="1"/>
  <c r="R64" i="1"/>
  <c r="S64" i="1" s="1"/>
  <c r="U64" i="1" s="1"/>
  <c r="AB64" i="1" s="1"/>
  <c r="AH64" i="1" s="1"/>
  <c r="X64" i="1"/>
  <c r="Y64" i="1"/>
  <c r="Z64" i="1"/>
  <c r="AA64" i="1"/>
  <c r="AE64" i="1"/>
  <c r="AF64" i="1"/>
  <c r="AG64" i="1"/>
  <c r="Q65" i="1"/>
  <c r="R65" i="1"/>
  <c r="S65" i="1" s="1"/>
  <c r="U65" i="1" s="1"/>
  <c r="AB65" i="1" s="1"/>
  <c r="X65" i="1"/>
  <c r="Y65" i="1"/>
  <c r="Z65" i="1"/>
  <c r="AA65" i="1"/>
  <c r="AD65" i="1"/>
  <c r="AE65" i="1"/>
  <c r="AF65" i="1"/>
  <c r="AG65" i="1"/>
  <c r="Q66" i="1"/>
  <c r="R66" i="1"/>
  <c r="S66" i="1" s="1"/>
  <c r="U66" i="1" s="1"/>
  <c r="AB66" i="1" s="1"/>
  <c r="X66" i="1"/>
  <c r="Y66" i="1"/>
  <c r="Z66" i="1"/>
  <c r="AA66" i="1"/>
  <c r="AE66" i="1"/>
  <c r="AF66" i="1"/>
  <c r="AG66" i="1"/>
  <c r="Q67" i="1"/>
  <c r="R67" i="1"/>
  <c r="S67" i="1"/>
  <c r="U67" i="1" s="1"/>
  <c r="AB67" i="1" s="1"/>
  <c r="X67" i="1"/>
  <c r="Y67" i="1"/>
  <c r="Z67" i="1"/>
  <c r="AA67" i="1"/>
  <c r="AE67" i="1"/>
  <c r="AF67" i="1"/>
  <c r="AG67" i="1"/>
  <c r="Q68" i="1"/>
  <c r="R68" i="1"/>
  <c r="S68" i="1" s="1"/>
  <c r="U68" i="1"/>
  <c r="AB68" i="1" s="1"/>
  <c r="X68" i="1"/>
  <c r="Y68" i="1"/>
  <c r="Z68" i="1"/>
  <c r="AA68" i="1"/>
  <c r="AH68" i="1" s="1"/>
  <c r="AK68" i="1" s="1"/>
  <c r="AE68" i="1"/>
  <c r="AF68" i="1"/>
  <c r="AG68" i="1"/>
  <c r="Q69" i="1"/>
  <c r="R69" i="1"/>
  <c r="S69" i="1" s="1"/>
  <c r="U69" i="1" s="1"/>
  <c r="Q70" i="1"/>
  <c r="R70" i="1"/>
  <c r="S70" i="1" s="1"/>
  <c r="U70" i="1" s="1"/>
  <c r="AB70" i="1" s="1"/>
  <c r="AH70" i="1" s="1"/>
  <c r="X70" i="1"/>
  <c r="Y70" i="1"/>
  <c r="Z70" i="1"/>
  <c r="AA70" i="1"/>
  <c r="AE70" i="1"/>
  <c r="AF70" i="1"/>
  <c r="AG70" i="1"/>
  <c r="Q71" i="1"/>
  <c r="R71" i="1"/>
  <c r="S71" i="1" s="1"/>
  <c r="U71" i="1" s="1"/>
  <c r="AB71" i="1" s="1"/>
  <c r="X71" i="1"/>
  <c r="Y71" i="1"/>
  <c r="Z71" i="1"/>
  <c r="AA71" i="1"/>
  <c r="AE71" i="1"/>
  <c r="AF71" i="1"/>
  <c r="AG71" i="1"/>
  <c r="Q72" i="1"/>
  <c r="R72" i="1"/>
  <c r="S72" i="1"/>
  <c r="U72" i="1" s="1"/>
  <c r="AB72" i="1" s="1"/>
  <c r="X72" i="1"/>
  <c r="Y72" i="1"/>
  <c r="Z72" i="1"/>
  <c r="AA72" i="1"/>
  <c r="AD72" i="1"/>
  <c r="AE72" i="1"/>
  <c r="AF72" i="1"/>
  <c r="AG72" i="1"/>
  <c r="Q73" i="1"/>
  <c r="R73" i="1"/>
  <c r="S73" i="1"/>
  <c r="U73" i="1" s="1"/>
  <c r="AB73" i="1" s="1"/>
  <c r="X73" i="1"/>
  <c r="Y73" i="1"/>
  <c r="Z73" i="1"/>
  <c r="AA73" i="1"/>
  <c r="AE73" i="1"/>
  <c r="AF73" i="1"/>
  <c r="AG73" i="1"/>
  <c r="Q74" i="1"/>
  <c r="R74" i="1"/>
  <c r="X74" i="1"/>
  <c r="Y74" i="1"/>
  <c r="Z74" i="1"/>
  <c r="AA74" i="1"/>
  <c r="AE74" i="1"/>
  <c r="AF74" i="1"/>
  <c r="AG74" i="1"/>
  <c r="Q75" i="1"/>
  <c r="R75" i="1"/>
  <c r="S75" i="1"/>
  <c r="U75" i="1" s="1"/>
  <c r="AB75" i="1" s="1"/>
  <c r="X75" i="1"/>
  <c r="Y75" i="1"/>
  <c r="AH75" i="1" s="1"/>
  <c r="Z75" i="1"/>
  <c r="AA75" i="1"/>
  <c r="AE75" i="1"/>
  <c r="AF75" i="1"/>
  <c r="AG75" i="1"/>
  <c r="Q76" i="1"/>
  <c r="R76" i="1"/>
  <c r="S76" i="1" s="1"/>
  <c r="U76" i="1" s="1"/>
  <c r="AB76" i="1" s="1"/>
  <c r="X76" i="1"/>
  <c r="Y76" i="1"/>
  <c r="Z76" i="1"/>
  <c r="AA76" i="1"/>
  <c r="AE76" i="1"/>
  <c r="AF76" i="1"/>
  <c r="AG76" i="1"/>
  <c r="Q79" i="1"/>
  <c r="R79" i="1"/>
  <c r="S79" i="1"/>
  <c r="U79" i="1"/>
  <c r="AB79" i="1" s="1"/>
  <c r="X79" i="1"/>
  <c r="Y79" i="1"/>
  <c r="Z79" i="1"/>
  <c r="AA79" i="1"/>
  <c r="AD79" i="1"/>
  <c r="AE79" i="1"/>
  <c r="AF79" i="1"/>
  <c r="AG79" i="1"/>
  <c r="Q80" i="1"/>
  <c r="R80" i="1"/>
  <c r="S80" i="1"/>
  <c r="U80" i="1"/>
  <c r="AB80" i="1" s="1"/>
  <c r="X80" i="1"/>
  <c r="Y80" i="1"/>
  <c r="Z80" i="1"/>
  <c r="AA80" i="1"/>
  <c r="AD80" i="1"/>
  <c r="AE80" i="1"/>
  <c r="AF80" i="1"/>
  <c r="AG80" i="1"/>
  <c r="Q81" i="1"/>
  <c r="R81" i="1"/>
  <c r="S81" i="1"/>
  <c r="U81" i="1" s="1"/>
  <c r="AB81" i="1" s="1"/>
  <c r="AH81" i="1" s="1"/>
  <c r="X81" i="1"/>
  <c r="Y81" i="1"/>
  <c r="Z81" i="1"/>
  <c r="AA81" i="1"/>
  <c r="AE81" i="1"/>
  <c r="AF81" i="1"/>
  <c r="AG81" i="1"/>
  <c r="Q82" i="1"/>
  <c r="R82" i="1"/>
  <c r="X82" i="1"/>
  <c r="Y82" i="1"/>
  <c r="Z82" i="1"/>
  <c r="AA82" i="1"/>
  <c r="AE82" i="1"/>
  <c r="AF82" i="1"/>
  <c r="AG82" i="1"/>
  <c r="Q83" i="1"/>
  <c r="R83" i="1"/>
  <c r="X83" i="1"/>
  <c r="Y83" i="1"/>
  <c r="Z83" i="1"/>
  <c r="AA83" i="1"/>
  <c r="AD83" i="1"/>
  <c r="AE83" i="1"/>
  <c r="AF83" i="1"/>
  <c r="AG83" i="1"/>
  <c r="Q84" i="1"/>
  <c r="R84" i="1"/>
  <c r="S84" i="1"/>
  <c r="U84" i="1" s="1"/>
  <c r="X84" i="1"/>
  <c r="Y84" i="1"/>
  <c r="Z84" i="1"/>
  <c r="AA84" i="1"/>
  <c r="AB84" i="1"/>
  <c r="AE84" i="1"/>
  <c r="AF84" i="1"/>
  <c r="AG84" i="1"/>
  <c r="AH84" i="1"/>
  <c r="AM84" i="1"/>
  <c r="Q85" i="1"/>
  <c r="R85" i="1"/>
  <c r="S85" i="1"/>
  <c r="U85" i="1" s="1"/>
  <c r="AB85" i="1" s="1"/>
  <c r="X85" i="1"/>
  <c r="Y85" i="1"/>
  <c r="Z85" i="1"/>
  <c r="AA85" i="1"/>
  <c r="AE85" i="1"/>
  <c r="AF85" i="1"/>
  <c r="AG85" i="1"/>
  <c r="Q86" i="1"/>
  <c r="S86" i="1" s="1"/>
  <c r="R86" i="1"/>
  <c r="U86" i="1"/>
  <c r="AB86" i="1" s="1"/>
  <c r="X86" i="1"/>
  <c r="Y86" i="1"/>
  <c r="Z86" i="1"/>
  <c r="AA86" i="1"/>
  <c r="AH86" i="1" s="1"/>
  <c r="AE86" i="1"/>
  <c r="AF86" i="1"/>
  <c r="AG86" i="1"/>
  <c r="AK86" i="1"/>
  <c r="Q87" i="1"/>
  <c r="R87" i="1"/>
  <c r="X87" i="1"/>
  <c r="Y87" i="1"/>
  <c r="Z87" i="1"/>
  <c r="AA87" i="1"/>
  <c r="AE87" i="1"/>
  <c r="AF87" i="1"/>
  <c r="AG87" i="1"/>
  <c r="Q88" i="1"/>
  <c r="R88" i="1"/>
  <c r="S88" i="1" s="1"/>
  <c r="U88" i="1" s="1"/>
  <c r="Q89" i="1"/>
  <c r="R89" i="1"/>
  <c r="S89" i="1" s="1"/>
  <c r="U89" i="1" s="1"/>
  <c r="AB89" i="1" s="1"/>
  <c r="X89" i="1"/>
  <c r="Y89" i="1"/>
  <c r="Z89" i="1"/>
  <c r="AA89" i="1"/>
  <c r="AE89" i="1"/>
  <c r="AF89" i="1"/>
  <c r="AG89" i="1"/>
  <c r="Q90" i="1"/>
  <c r="R90" i="1"/>
  <c r="S90" i="1"/>
  <c r="U90" i="1" s="1"/>
  <c r="AB90" i="1" s="1"/>
  <c r="X90" i="1"/>
  <c r="Y90" i="1"/>
  <c r="Z90" i="1"/>
  <c r="AA90" i="1"/>
  <c r="AE90" i="1"/>
  <c r="AF90" i="1"/>
  <c r="AG90" i="1"/>
  <c r="Q91" i="1"/>
  <c r="S91" i="1" s="1"/>
  <c r="R91" i="1"/>
  <c r="U91" i="1"/>
  <c r="AB91" i="1" s="1"/>
  <c r="X91" i="1"/>
  <c r="Y91" i="1"/>
  <c r="Z91" i="1"/>
  <c r="AA91" i="1"/>
  <c r="AH91" i="1" s="1"/>
  <c r="AE91" i="1"/>
  <c r="AF91" i="1"/>
  <c r="AG91" i="1"/>
  <c r="AK91" i="1"/>
  <c r="Q92" i="1"/>
  <c r="R92" i="1"/>
  <c r="X92" i="1"/>
  <c r="Y92" i="1"/>
  <c r="Z92" i="1"/>
  <c r="AA92" i="1"/>
  <c r="AE92" i="1"/>
  <c r="AF92" i="1"/>
  <c r="AG92" i="1"/>
  <c r="Q93" i="1"/>
  <c r="R93" i="1"/>
  <c r="S93" i="1" s="1"/>
  <c r="U93" i="1" s="1"/>
  <c r="AB93" i="1" s="1"/>
  <c r="X93" i="1"/>
  <c r="Y93" i="1"/>
  <c r="AH93" i="1" s="1"/>
  <c r="Z93" i="1"/>
  <c r="AA93" i="1"/>
  <c r="AE93" i="1"/>
  <c r="AF93" i="1"/>
  <c r="AG93" i="1"/>
  <c r="Q96" i="1"/>
  <c r="R96" i="1"/>
  <c r="S96" i="1"/>
  <c r="U96" i="1" s="1"/>
  <c r="AB96" i="1" s="1"/>
  <c r="X96" i="1"/>
  <c r="Y96" i="1"/>
  <c r="Z96" i="1"/>
  <c r="AA96" i="1"/>
  <c r="AE96" i="1"/>
  <c r="AF96" i="1"/>
  <c r="AG96" i="1"/>
  <c r="Q97" i="1"/>
  <c r="S97" i="1" s="1"/>
  <c r="U97" i="1" s="1"/>
  <c r="AB97" i="1" s="1"/>
  <c r="R97" i="1"/>
  <c r="X97" i="1"/>
  <c r="Y97" i="1"/>
  <c r="Z97" i="1"/>
  <c r="AA97" i="1"/>
  <c r="AD97" i="1"/>
  <c r="AE97" i="1"/>
  <c r="AF97" i="1"/>
  <c r="AG97" i="1"/>
  <c r="Q98" i="1"/>
  <c r="S98" i="1" s="1"/>
  <c r="U98" i="1" s="1"/>
  <c r="AB98" i="1" s="1"/>
  <c r="R98" i="1"/>
  <c r="X98" i="1"/>
  <c r="Y98" i="1"/>
  <c r="Z98" i="1"/>
  <c r="AA98" i="1"/>
  <c r="AE98" i="1"/>
  <c r="AF98" i="1"/>
  <c r="AG98" i="1"/>
  <c r="Q99" i="1"/>
  <c r="R99" i="1"/>
  <c r="S99" i="1" s="1"/>
  <c r="U99" i="1" s="1"/>
  <c r="X99" i="1"/>
  <c r="Y99" i="1"/>
  <c r="Z99" i="1"/>
  <c r="AA99" i="1"/>
  <c r="AD99" i="1"/>
  <c r="AE99" i="1"/>
  <c r="AF99" i="1"/>
  <c r="AG99" i="1"/>
  <c r="Q100" i="1"/>
  <c r="R100" i="1"/>
  <c r="S100" i="1" s="1"/>
  <c r="U100" i="1" s="1"/>
  <c r="Q101" i="1"/>
  <c r="R101" i="1"/>
  <c r="Q102" i="1"/>
  <c r="R102" i="1"/>
  <c r="S102" i="1" s="1"/>
  <c r="U102" i="1" s="1"/>
  <c r="AB102" i="1" s="1"/>
  <c r="AH102" i="1" s="1"/>
  <c r="X102" i="1"/>
  <c r="Y102" i="1"/>
  <c r="Z102" i="1"/>
  <c r="AA102" i="1"/>
  <c r="AE102" i="1"/>
  <c r="AF102" i="1"/>
  <c r="AG102" i="1"/>
  <c r="Q103" i="1"/>
  <c r="R103" i="1"/>
  <c r="S103" i="1" s="1"/>
  <c r="U103" i="1" s="1"/>
  <c r="AB103" i="1" s="1"/>
  <c r="AH103" i="1" s="1"/>
  <c r="X103" i="1"/>
  <c r="Y103" i="1"/>
  <c r="Z103" i="1"/>
  <c r="AA103" i="1"/>
  <c r="AD103" i="1"/>
  <c r="AE103" i="1"/>
  <c r="AF103" i="1"/>
  <c r="AG103" i="1"/>
  <c r="Q104" i="1"/>
  <c r="R104" i="1"/>
  <c r="S104" i="1" s="1"/>
  <c r="U104" i="1" s="1"/>
  <c r="AB104" i="1" s="1"/>
  <c r="X104" i="1"/>
  <c r="Y104" i="1"/>
  <c r="Z104" i="1"/>
  <c r="AA104" i="1"/>
  <c r="AE104" i="1"/>
  <c r="AF104" i="1"/>
  <c r="AG104" i="1"/>
  <c r="Q105" i="1"/>
  <c r="R105" i="1"/>
  <c r="S105" i="1"/>
  <c r="U105" i="1" s="1"/>
  <c r="AB105" i="1" s="1"/>
  <c r="X105" i="1"/>
  <c r="Y105" i="1"/>
  <c r="Z105" i="1"/>
  <c r="AA105" i="1"/>
  <c r="AE105" i="1"/>
  <c r="AF105" i="1"/>
  <c r="AG105" i="1"/>
  <c r="Q108" i="1"/>
  <c r="R108" i="1"/>
  <c r="S108" i="1"/>
  <c r="U108" i="1" s="1"/>
  <c r="AB108" i="1" s="1"/>
  <c r="X108" i="1"/>
  <c r="Y108" i="1"/>
  <c r="Z108" i="1"/>
  <c r="AA108" i="1"/>
  <c r="AE108" i="1"/>
  <c r="AF108" i="1"/>
  <c r="AG108" i="1"/>
  <c r="Q109" i="1"/>
  <c r="R109" i="1"/>
  <c r="S109" i="1" s="1"/>
  <c r="U109" i="1" s="1"/>
  <c r="AB109" i="1" s="1"/>
  <c r="AH109" i="1" s="1"/>
  <c r="X109" i="1"/>
  <c r="Y109" i="1"/>
  <c r="Z109" i="1"/>
  <c r="AA109" i="1"/>
  <c r="AE109" i="1"/>
  <c r="AF109" i="1"/>
  <c r="AG109" i="1"/>
  <c r="Q110" i="1"/>
  <c r="R110" i="1"/>
  <c r="S110" i="1" s="1"/>
  <c r="U110" i="1" s="1"/>
  <c r="X110" i="1"/>
  <c r="Y110" i="1"/>
  <c r="Z110" i="1"/>
  <c r="AA110" i="1"/>
  <c r="AE110" i="1"/>
  <c r="AF110" i="1"/>
  <c r="AG110" i="1"/>
  <c r="Q111" i="1"/>
  <c r="R111" i="1"/>
  <c r="S111" i="1"/>
  <c r="U111" i="1" s="1"/>
  <c r="Q112" i="1"/>
  <c r="R112" i="1"/>
  <c r="S112" i="1"/>
  <c r="U112" i="1" s="1"/>
  <c r="AB112" i="1" s="1"/>
  <c r="X112" i="1"/>
  <c r="Y112" i="1"/>
  <c r="AH112" i="1" s="1"/>
  <c r="Z112" i="1"/>
  <c r="AA112" i="1"/>
  <c r="AE112" i="1"/>
  <c r="AF112" i="1"/>
  <c r="AG112" i="1"/>
  <c r="Q113" i="1"/>
  <c r="S113" i="1" s="1"/>
  <c r="U113" i="1" s="1"/>
  <c r="R113" i="1"/>
  <c r="X113" i="1"/>
  <c r="Y113" i="1"/>
  <c r="Z113" i="1"/>
  <c r="AA113" i="1"/>
  <c r="AD113" i="1"/>
  <c r="AE113" i="1"/>
  <c r="AF113" i="1"/>
  <c r="AG113" i="1"/>
  <c r="Q114" i="1"/>
  <c r="S114" i="1" s="1"/>
  <c r="U114" i="1" s="1"/>
  <c r="R114" i="1"/>
  <c r="Q115" i="1"/>
  <c r="S115" i="1" s="1"/>
  <c r="U115" i="1" s="1"/>
  <c r="AB115" i="1" s="1"/>
  <c r="R115" i="1"/>
  <c r="X115" i="1"/>
  <c r="Y115" i="1"/>
  <c r="Z115" i="1"/>
  <c r="AA115" i="1"/>
  <c r="AH115" i="1" s="1"/>
  <c r="AE115" i="1"/>
  <c r="AF115" i="1"/>
  <c r="AG115" i="1"/>
  <c r="Q118" i="1"/>
  <c r="R118" i="1"/>
  <c r="S118" i="1" s="1"/>
  <c r="U118" i="1" s="1"/>
  <c r="AB118" i="1" s="1"/>
  <c r="AH118" i="1" s="1"/>
  <c r="X118" i="1"/>
  <c r="Y118" i="1"/>
  <c r="Z118" i="1"/>
  <c r="AA118" i="1"/>
  <c r="AE118" i="1"/>
  <c r="AF118" i="1"/>
  <c r="AG118" i="1"/>
  <c r="Q119" i="1"/>
  <c r="R119" i="1"/>
  <c r="S119" i="1" s="1"/>
  <c r="U119" i="1" s="1"/>
  <c r="AB119" i="1" s="1"/>
  <c r="X119" i="1"/>
  <c r="Y119" i="1"/>
  <c r="AH119" i="1" s="1"/>
  <c r="Z119" i="1"/>
  <c r="AA119" i="1"/>
  <c r="AE119" i="1"/>
  <c r="AF119" i="1"/>
  <c r="AG119" i="1"/>
  <c r="Q120" i="1"/>
  <c r="R120" i="1"/>
  <c r="S120" i="1"/>
  <c r="U120" i="1" s="1"/>
  <c r="AB120" i="1" s="1"/>
  <c r="X120" i="1"/>
  <c r="Y120" i="1"/>
  <c r="Z120" i="1"/>
  <c r="AA120" i="1"/>
  <c r="AE120" i="1"/>
  <c r="AF120" i="1"/>
  <c r="AG120" i="1"/>
  <c r="Q121" i="1"/>
  <c r="S121" i="1" s="1"/>
  <c r="U121" i="1" s="1"/>
  <c r="AB121" i="1" s="1"/>
  <c r="R121" i="1"/>
  <c r="X121" i="1"/>
  <c r="Y121" i="1"/>
  <c r="Z121" i="1"/>
  <c r="AA121" i="1"/>
  <c r="AE121" i="1"/>
  <c r="AF121" i="1"/>
  <c r="AG121" i="1"/>
  <c r="Q122" i="1"/>
  <c r="R122" i="1"/>
  <c r="S122" i="1" s="1"/>
  <c r="U122" i="1" s="1"/>
  <c r="AB122" i="1" s="1"/>
  <c r="AH122" i="1" s="1"/>
  <c r="X122" i="1"/>
  <c r="Y122" i="1"/>
  <c r="Z122" i="1"/>
  <c r="AA122" i="1"/>
  <c r="AE122" i="1"/>
  <c r="AF122" i="1"/>
  <c r="AG122" i="1"/>
  <c r="Q125" i="1"/>
  <c r="R125" i="1"/>
  <c r="S125" i="1" s="1"/>
  <c r="U125" i="1" s="1"/>
  <c r="AB125" i="1" s="1"/>
  <c r="X125" i="1"/>
  <c r="Y125" i="1"/>
  <c r="AH125" i="1" s="1"/>
  <c r="Z125" i="1"/>
  <c r="AA125" i="1"/>
  <c r="AD125" i="1"/>
  <c r="AE125" i="1"/>
  <c r="AF125" i="1"/>
  <c r="AG125" i="1"/>
  <c r="Q128" i="1"/>
  <c r="R128" i="1"/>
  <c r="S128" i="1" s="1"/>
  <c r="U128" i="1" s="1"/>
  <c r="AB128" i="1" s="1"/>
  <c r="AH128" i="1" s="1"/>
  <c r="X128" i="1"/>
  <c r="Y128" i="1"/>
  <c r="Z128" i="1"/>
  <c r="AA128" i="1"/>
  <c r="AD128" i="1"/>
  <c r="AE128" i="1"/>
  <c r="AF128" i="1"/>
  <c r="AG128" i="1"/>
  <c r="Q129" i="1"/>
  <c r="R129" i="1"/>
  <c r="S129" i="1" s="1"/>
  <c r="U129" i="1" s="1"/>
  <c r="AB129" i="1" s="1"/>
  <c r="X129" i="1"/>
  <c r="Y129" i="1"/>
  <c r="AH129" i="1" s="1"/>
  <c r="Z129" i="1"/>
  <c r="AA129" i="1"/>
  <c r="AE129" i="1"/>
  <c r="AF129" i="1"/>
  <c r="AG129" i="1"/>
  <c r="Q130" i="1"/>
  <c r="R130" i="1"/>
  <c r="S130" i="1"/>
  <c r="U130" i="1" s="1"/>
  <c r="AB130" i="1" s="1"/>
  <c r="X130" i="1"/>
  <c r="Y130" i="1"/>
  <c r="Z130" i="1"/>
  <c r="AA130" i="1"/>
  <c r="AE130" i="1"/>
  <c r="AF130" i="1"/>
  <c r="AG130" i="1"/>
  <c r="Q131" i="1"/>
  <c r="S131" i="1" s="1"/>
  <c r="U131" i="1" s="1"/>
  <c r="AB131" i="1" s="1"/>
  <c r="R131" i="1"/>
  <c r="X131" i="1"/>
  <c r="Y131" i="1"/>
  <c r="Z131" i="1"/>
  <c r="AA131" i="1"/>
  <c r="AE131" i="1"/>
  <c r="AF131" i="1"/>
  <c r="AG131" i="1"/>
  <c r="R132" i="1"/>
  <c r="S132" i="1" s="1"/>
  <c r="U132" i="1" s="1"/>
  <c r="AB132" i="1" s="1"/>
  <c r="AH132" i="1" s="1"/>
  <c r="X132" i="1"/>
  <c r="Y132" i="1"/>
  <c r="Z132" i="1"/>
  <c r="AA132" i="1"/>
  <c r="AD132" i="1"/>
  <c r="AE132" i="1"/>
  <c r="AF132" i="1"/>
  <c r="AG132" i="1"/>
  <c r="Q135" i="1"/>
  <c r="R135" i="1"/>
  <c r="S135" i="1" s="1"/>
  <c r="U135" i="1" s="1"/>
  <c r="AB135" i="1" s="1"/>
  <c r="X135" i="1"/>
  <c r="Y135" i="1"/>
  <c r="Z135" i="1"/>
  <c r="AA135" i="1"/>
  <c r="AE135" i="1"/>
  <c r="AF135" i="1"/>
  <c r="AG135" i="1"/>
  <c r="Q136" i="1"/>
  <c r="R136" i="1"/>
  <c r="S136" i="1"/>
  <c r="U136" i="1" s="1"/>
  <c r="AB136" i="1" s="1"/>
  <c r="X136" i="1"/>
  <c r="Y136" i="1"/>
  <c r="AH136" i="1" s="1"/>
  <c r="Z136" i="1"/>
  <c r="AA136" i="1"/>
  <c r="AE136" i="1"/>
  <c r="AF136" i="1"/>
  <c r="AG136" i="1"/>
  <c r="Q137" i="1"/>
  <c r="S137" i="1" s="1"/>
  <c r="U137" i="1" s="1"/>
  <c r="AB137" i="1" s="1"/>
  <c r="R137" i="1"/>
  <c r="X137" i="1"/>
  <c r="Y137" i="1"/>
  <c r="Z137" i="1"/>
  <c r="AA137" i="1"/>
  <c r="AE137" i="1"/>
  <c r="AF137" i="1"/>
  <c r="AG137" i="1"/>
  <c r="Q138" i="1"/>
  <c r="R138" i="1"/>
  <c r="S138" i="1" s="1"/>
  <c r="U138" i="1" s="1"/>
  <c r="AB138" i="1" s="1"/>
  <c r="AH138" i="1" s="1"/>
  <c r="X138" i="1"/>
  <c r="Y138" i="1"/>
  <c r="Z138" i="1"/>
  <c r="AA138" i="1"/>
  <c r="AE138" i="1"/>
  <c r="AF138" i="1"/>
  <c r="AG138" i="1"/>
  <c r="Q139" i="1"/>
  <c r="R139" i="1"/>
  <c r="S139" i="1" s="1"/>
  <c r="U139" i="1" s="1"/>
  <c r="AB139" i="1" s="1"/>
  <c r="X139" i="1"/>
  <c r="Y139" i="1"/>
  <c r="Z139" i="1"/>
  <c r="AA139" i="1"/>
  <c r="AE139" i="1"/>
  <c r="AF139" i="1"/>
  <c r="AG139" i="1"/>
  <c r="Q142" i="1"/>
  <c r="R142" i="1"/>
  <c r="S142" i="1"/>
  <c r="U142" i="1" s="1"/>
  <c r="X142" i="1"/>
  <c r="Y142" i="1"/>
  <c r="Z142" i="1"/>
  <c r="AA142" i="1"/>
  <c r="AE142" i="1"/>
  <c r="AF142" i="1"/>
  <c r="AG142" i="1"/>
  <c r="Q143" i="1"/>
  <c r="S143" i="1" s="1"/>
  <c r="U143" i="1" s="1"/>
  <c r="R143" i="1"/>
  <c r="Q144" i="1"/>
  <c r="S144" i="1" s="1"/>
  <c r="U144" i="1" s="1"/>
  <c r="AB144" i="1" s="1"/>
  <c r="R144" i="1"/>
  <c r="X144" i="1"/>
  <c r="Y144" i="1"/>
  <c r="Z144" i="1"/>
  <c r="AA144" i="1"/>
  <c r="AE144" i="1"/>
  <c r="AF144" i="1"/>
  <c r="AG144" i="1"/>
  <c r="Q145" i="1"/>
  <c r="R145" i="1"/>
  <c r="S145" i="1" s="1"/>
  <c r="U145" i="1" s="1"/>
  <c r="AB145" i="1" s="1"/>
  <c r="AH145" i="1" s="1"/>
  <c r="X145" i="1"/>
  <c r="Y145" i="1"/>
  <c r="Z145" i="1"/>
  <c r="AA145" i="1"/>
  <c r="AE145" i="1"/>
  <c r="AF145" i="1"/>
  <c r="AG145" i="1"/>
  <c r="Q148" i="1"/>
  <c r="R148" i="1"/>
  <c r="S148" i="1" s="1"/>
  <c r="U148" i="1" s="1"/>
  <c r="AB148" i="1" s="1"/>
  <c r="X148" i="1"/>
  <c r="Y148" i="1"/>
  <c r="Z148" i="1"/>
  <c r="AA148" i="1"/>
  <c r="AE148" i="1"/>
  <c r="AF148" i="1"/>
  <c r="AG148" i="1"/>
  <c r="Q149" i="1"/>
  <c r="R149" i="1"/>
  <c r="S149" i="1"/>
  <c r="U149" i="1" s="1"/>
  <c r="AB149" i="1" s="1"/>
  <c r="X149" i="1"/>
  <c r="Y149" i="1"/>
  <c r="AH149" i="1" s="1"/>
  <c r="Z149" i="1"/>
  <c r="AA149" i="1"/>
  <c r="AE149" i="1"/>
  <c r="AF149" i="1"/>
  <c r="AG149" i="1"/>
  <c r="Q150" i="1"/>
  <c r="S150" i="1" s="1"/>
  <c r="U150" i="1" s="1"/>
  <c r="AB150" i="1" s="1"/>
  <c r="R150" i="1"/>
  <c r="X150" i="1"/>
  <c r="Y150" i="1"/>
  <c r="Z150" i="1"/>
  <c r="AA150" i="1"/>
  <c r="AE150" i="1"/>
  <c r="AF150" i="1"/>
  <c r="AG150" i="1"/>
  <c r="Q153" i="1"/>
  <c r="R153" i="1"/>
  <c r="S153" i="1" s="1"/>
  <c r="U153" i="1" s="1"/>
  <c r="AB153" i="1" s="1"/>
  <c r="X153" i="1"/>
  <c r="Y153" i="1"/>
  <c r="Z153" i="1"/>
  <c r="AA153" i="1"/>
  <c r="AD153" i="1"/>
  <c r="AE153" i="1"/>
  <c r="AF153" i="1"/>
  <c r="AG153" i="1"/>
  <c r="Q154" i="1"/>
  <c r="R154" i="1"/>
  <c r="S154" i="1" s="1"/>
  <c r="U154" i="1" s="1"/>
  <c r="AB154" i="1" s="1"/>
  <c r="AH154" i="1" s="1"/>
  <c r="X154" i="1"/>
  <c r="Y154" i="1"/>
  <c r="Z154" i="1"/>
  <c r="AA154" i="1"/>
  <c r="AE154" i="1"/>
  <c r="AF154" i="1"/>
  <c r="AG154" i="1"/>
  <c r="Q155" i="1"/>
  <c r="R155" i="1"/>
  <c r="S155" i="1" s="1"/>
  <c r="U155" i="1" s="1"/>
  <c r="AB155" i="1" s="1"/>
  <c r="X155" i="1"/>
  <c r="Y155" i="1"/>
  <c r="AH155" i="1" s="1"/>
  <c r="Z155" i="1"/>
  <c r="AA155" i="1"/>
  <c r="AE155" i="1"/>
  <c r="AF155" i="1"/>
  <c r="AG155" i="1"/>
  <c r="Q158" i="1"/>
  <c r="R158" i="1"/>
  <c r="S158" i="1"/>
  <c r="U158" i="1" s="1"/>
  <c r="AB158" i="1" s="1"/>
  <c r="X158" i="1"/>
  <c r="Y158" i="1"/>
  <c r="Z158" i="1"/>
  <c r="AH158" i="1" s="1"/>
  <c r="AA158" i="1"/>
  <c r="AD158" i="1"/>
  <c r="AE158" i="1"/>
  <c r="AF158" i="1"/>
  <c r="AG158" i="1"/>
  <c r="Q159" i="1"/>
  <c r="R159" i="1"/>
  <c r="S159" i="1"/>
  <c r="U159" i="1" s="1"/>
  <c r="AB159" i="1" s="1"/>
  <c r="X159" i="1"/>
  <c r="Y159" i="1"/>
  <c r="Z159" i="1"/>
  <c r="AA159" i="1"/>
  <c r="AE159" i="1"/>
  <c r="AF159" i="1"/>
  <c r="AG159" i="1"/>
  <c r="Q160" i="1"/>
  <c r="S160" i="1" s="1"/>
  <c r="U160" i="1" s="1"/>
  <c r="AB160" i="1" s="1"/>
  <c r="R160" i="1"/>
  <c r="X160" i="1"/>
  <c r="Y160" i="1"/>
  <c r="Z160" i="1"/>
  <c r="AA160" i="1"/>
  <c r="AE160" i="1"/>
  <c r="AF160" i="1"/>
  <c r="AG160" i="1"/>
  <c r="Q161" i="1"/>
  <c r="R161" i="1"/>
  <c r="S161" i="1" s="1"/>
  <c r="U161" i="1" s="1"/>
  <c r="AB161" i="1" s="1"/>
  <c r="AH161" i="1" s="1"/>
  <c r="X161" i="1"/>
  <c r="Y161" i="1"/>
  <c r="Z161" i="1"/>
  <c r="AA161" i="1"/>
  <c r="AE161" i="1"/>
  <c r="AF161" i="1"/>
  <c r="AG161" i="1"/>
  <c r="Q164" i="1"/>
  <c r="R164" i="1"/>
  <c r="S164" i="1" s="1"/>
  <c r="U164" i="1" s="1"/>
  <c r="AB164" i="1" s="1"/>
  <c r="AH164" i="1" s="1"/>
  <c r="X164" i="1"/>
  <c r="Y164" i="1"/>
  <c r="Z164" i="1"/>
  <c r="AA164" i="1"/>
  <c r="AD164" i="1"/>
  <c r="AE164" i="1"/>
  <c r="AF164" i="1"/>
  <c r="AG164" i="1"/>
  <c r="AH167" i="1"/>
  <c r="AK167" i="1" s="1"/>
  <c r="AI167" i="1"/>
  <c r="AJ167" i="1" s="1"/>
  <c r="AM167" i="1"/>
  <c r="AN167" i="1"/>
  <c r="Q170" i="1"/>
  <c r="R170" i="1"/>
  <c r="S170" i="1"/>
  <c r="U170" i="1" s="1"/>
  <c r="AB170" i="1" s="1"/>
  <c r="X170" i="1"/>
  <c r="Y170" i="1"/>
  <c r="AH170" i="1" s="1"/>
  <c r="Z170" i="1"/>
  <c r="AA170" i="1"/>
  <c r="AE170" i="1"/>
  <c r="AF170" i="1"/>
  <c r="AG170" i="1"/>
  <c r="AI138" i="1" l="1"/>
  <c r="AJ138" i="1" s="1"/>
  <c r="AM138" i="1"/>
  <c r="AL138" i="1"/>
  <c r="AN138" i="1"/>
  <c r="AK138" i="1"/>
  <c r="AN119" i="1"/>
  <c r="AI119" i="1"/>
  <c r="AJ119" i="1" s="1"/>
  <c r="AK119" i="1"/>
  <c r="AM119" i="1"/>
  <c r="AL119" i="1"/>
  <c r="AI164" i="1"/>
  <c r="AJ164" i="1" s="1"/>
  <c r="AM164" i="1"/>
  <c r="AN164" i="1"/>
  <c r="AK164" i="1"/>
  <c r="AL164" i="1"/>
  <c r="AH150" i="1"/>
  <c r="AI145" i="1"/>
  <c r="AJ145" i="1" s="1"/>
  <c r="AM145" i="1"/>
  <c r="AL145" i="1"/>
  <c r="AN145" i="1"/>
  <c r="AK145" i="1"/>
  <c r="AB142" i="1"/>
  <c r="AH139" i="1"/>
  <c r="AH137" i="1"/>
  <c r="AH130" i="1"/>
  <c r="AB113" i="1"/>
  <c r="AH108" i="1"/>
  <c r="AB99" i="1"/>
  <c r="AH99" i="1" s="1"/>
  <c r="AI161" i="1"/>
  <c r="AJ161" i="1" s="1"/>
  <c r="AM161" i="1"/>
  <c r="AL161" i="1"/>
  <c r="AN161" i="1"/>
  <c r="AK161" i="1"/>
  <c r="AH159" i="1"/>
  <c r="AI154" i="1"/>
  <c r="AJ154" i="1" s="1"/>
  <c r="AM154" i="1"/>
  <c r="AL154" i="1"/>
  <c r="AN154" i="1"/>
  <c r="AK154" i="1"/>
  <c r="AH148" i="1"/>
  <c r="AH144" i="1"/>
  <c r="AH135" i="1"/>
  <c r="AI132" i="1"/>
  <c r="AJ132" i="1" s="1"/>
  <c r="AM132" i="1"/>
  <c r="AL132" i="1"/>
  <c r="AN132" i="1"/>
  <c r="AK132" i="1"/>
  <c r="AH131" i="1"/>
  <c r="AI122" i="1"/>
  <c r="AJ122" i="1" s="1"/>
  <c r="AM122" i="1"/>
  <c r="AL122" i="1"/>
  <c r="AN122" i="1"/>
  <c r="AK122" i="1"/>
  <c r="AH120" i="1"/>
  <c r="AB110" i="1"/>
  <c r="AH110" i="1" s="1"/>
  <c r="AI103" i="1"/>
  <c r="AJ103" i="1" s="1"/>
  <c r="AM103" i="1"/>
  <c r="AN103" i="1"/>
  <c r="AK103" i="1"/>
  <c r="AL103" i="1"/>
  <c r="AK170" i="1"/>
  <c r="AN170" i="1"/>
  <c r="AL170" i="1"/>
  <c r="AI170" i="1"/>
  <c r="AJ170" i="1" s="1"/>
  <c r="AM170" i="1"/>
  <c r="AN158" i="1"/>
  <c r="AK158" i="1"/>
  <c r="AI158" i="1"/>
  <c r="AJ158" i="1" s="1"/>
  <c r="AL158" i="1"/>
  <c r="AM158" i="1"/>
  <c r="AK149" i="1"/>
  <c r="AL149" i="1"/>
  <c r="AN149" i="1"/>
  <c r="AI149" i="1"/>
  <c r="AJ149" i="1" s="1"/>
  <c r="AM149" i="1"/>
  <c r="AK136" i="1"/>
  <c r="AN136" i="1"/>
  <c r="AL136" i="1"/>
  <c r="AI136" i="1"/>
  <c r="AJ136" i="1" s="1"/>
  <c r="AM136" i="1"/>
  <c r="AL115" i="1"/>
  <c r="AI115" i="1"/>
  <c r="AJ115" i="1" s="1"/>
  <c r="AM115" i="1"/>
  <c r="AK115" i="1"/>
  <c r="AN115" i="1"/>
  <c r="AH160" i="1"/>
  <c r="AN155" i="1"/>
  <c r="AK155" i="1"/>
  <c r="AI155" i="1"/>
  <c r="AJ155" i="1" s="1"/>
  <c r="AL155" i="1"/>
  <c r="AM155" i="1"/>
  <c r="AH153" i="1"/>
  <c r="AH142" i="1"/>
  <c r="AN129" i="1"/>
  <c r="AM129" i="1"/>
  <c r="AK129" i="1"/>
  <c r="AI129" i="1"/>
  <c r="AJ129" i="1" s="1"/>
  <c r="AL129" i="1"/>
  <c r="AI128" i="1"/>
  <c r="AJ128" i="1" s="1"/>
  <c r="AM128" i="1"/>
  <c r="AN128" i="1"/>
  <c r="AL128" i="1"/>
  <c r="AK128" i="1"/>
  <c r="AI125" i="1"/>
  <c r="AJ125" i="1" s="1"/>
  <c r="AM125" i="1"/>
  <c r="AN125" i="1"/>
  <c r="AL125" i="1"/>
  <c r="AK125" i="1"/>
  <c r="AH121" i="1"/>
  <c r="AI118" i="1"/>
  <c r="AJ118" i="1" s="1"/>
  <c r="AM118" i="1"/>
  <c r="AN118" i="1"/>
  <c r="AL118" i="1"/>
  <c r="AK118" i="1"/>
  <c r="AH113" i="1"/>
  <c r="AK112" i="1"/>
  <c r="AN112" i="1"/>
  <c r="AL112" i="1"/>
  <c r="AI112" i="1"/>
  <c r="AJ112" i="1" s="1"/>
  <c r="AM112" i="1"/>
  <c r="AI109" i="1"/>
  <c r="AJ109" i="1" s="1"/>
  <c r="AM109" i="1"/>
  <c r="AL109" i="1"/>
  <c r="AN109" i="1"/>
  <c r="AK109" i="1"/>
  <c r="AI102" i="1"/>
  <c r="AJ102" i="1" s="1"/>
  <c r="AM102" i="1"/>
  <c r="AN102" i="1"/>
  <c r="AK102" i="1"/>
  <c r="AL102" i="1"/>
  <c r="AH83" i="1"/>
  <c r="AI70" i="1"/>
  <c r="AJ70" i="1" s="1"/>
  <c r="AM70" i="1"/>
  <c r="AN70" i="1"/>
  <c r="AK70" i="1"/>
  <c r="AL70" i="1"/>
  <c r="AI55" i="1"/>
  <c r="AJ55" i="1" s="1"/>
  <c r="AM55" i="1"/>
  <c r="AN55" i="1"/>
  <c r="AK55" i="1"/>
  <c r="AL55" i="1"/>
  <c r="AH105" i="1"/>
  <c r="AH104" i="1"/>
  <c r="AH96" i="1"/>
  <c r="AN93" i="1"/>
  <c r="AK93" i="1"/>
  <c r="AL93" i="1"/>
  <c r="AL91" i="1"/>
  <c r="AI91" i="1"/>
  <c r="AJ91" i="1" s="1"/>
  <c r="AM91" i="1"/>
  <c r="AN91" i="1"/>
  <c r="AL86" i="1"/>
  <c r="AI86" i="1"/>
  <c r="AJ86" i="1" s="1"/>
  <c r="AM86" i="1"/>
  <c r="AN86" i="1"/>
  <c r="AK84" i="1"/>
  <c r="AI84" i="1"/>
  <c r="AJ84" i="1" s="1"/>
  <c r="AN84" i="1"/>
  <c r="AL84" i="1"/>
  <c r="AK75" i="1"/>
  <c r="AM75" i="1"/>
  <c r="AI75" i="1"/>
  <c r="AJ75" i="1" s="1"/>
  <c r="AN75" i="1"/>
  <c r="AI64" i="1"/>
  <c r="AJ64" i="1" s="1"/>
  <c r="AM64" i="1"/>
  <c r="AN64" i="1"/>
  <c r="AK64" i="1"/>
  <c r="AL64" i="1"/>
  <c r="AI50" i="1"/>
  <c r="AJ50" i="1" s="1"/>
  <c r="AM50" i="1"/>
  <c r="AN50" i="1"/>
  <c r="AK50" i="1"/>
  <c r="AL50" i="1"/>
  <c r="AI22" i="1"/>
  <c r="AJ22" i="1" s="1"/>
  <c r="AM22" i="1"/>
  <c r="AN22" i="1"/>
  <c r="AK22" i="1"/>
  <c r="AL22" i="1"/>
  <c r="AL10" i="1"/>
  <c r="AI10" i="1"/>
  <c r="AJ10" i="1" s="1"/>
  <c r="AM10" i="1"/>
  <c r="AN10" i="1"/>
  <c r="AK10" i="1"/>
  <c r="AL167" i="1"/>
  <c r="S101" i="1"/>
  <c r="U101" i="1" s="1"/>
  <c r="AH98" i="1"/>
  <c r="AH97" i="1"/>
  <c r="AM93" i="1"/>
  <c r="AH73" i="1"/>
  <c r="AH65" i="1"/>
  <c r="AK42" i="1"/>
  <c r="AI42" i="1"/>
  <c r="AJ42" i="1" s="1"/>
  <c r="AM42" i="1"/>
  <c r="AL42" i="1"/>
  <c r="AN42" i="1"/>
  <c r="AL68" i="1"/>
  <c r="AI68" i="1"/>
  <c r="AJ68" i="1" s="1"/>
  <c r="AM68" i="1"/>
  <c r="AN68" i="1"/>
  <c r="AI93" i="1"/>
  <c r="AJ93" i="1" s="1"/>
  <c r="S92" i="1"/>
  <c r="U92" i="1" s="1"/>
  <c r="AB92" i="1" s="1"/>
  <c r="AH92" i="1" s="1"/>
  <c r="AH90" i="1"/>
  <c r="AH89" i="1"/>
  <c r="S87" i="1"/>
  <c r="U87" i="1" s="1"/>
  <c r="AB87" i="1" s="1"/>
  <c r="AH87" i="1" s="1"/>
  <c r="AH85" i="1"/>
  <c r="S83" i="1"/>
  <c r="U83" i="1" s="1"/>
  <c r="AB83" i="1" s="1"/>
  <c r="AI81" i="1"/>
  <c r="AJ81" i="1" s="1"/>
  <c r="AM81" i="1"/>
  <c r="AK81" i="1"/>
  <c r="AL81" i="1"/>
  <c r="AN81" i="1"/>
  <c r="AH76" i="1"/>
  <c r="AL75" i="1"/>
  <c r="AK57" i="1"/>
  <c r="AL57" i="1"/>
  <c r="AI57" i="1"/>
  <c r="AJ57" i="1" s="1"/>
  <c r="AM57" i="1"/>
  <c r="AN57" i="1"/>
  <c r="AL33" i="1"/>
  <c r="AI33" i="1"/>
  <c r="AJ33" i="1" s="1"/>
  <c r="AM33" i="1"/>
  <c r="AN33" i="1"/>
  <c r="AK33" i="1"/>
  <c r="AH79" i="1"/>
  <c r="S74" i="1"/>
  <c r="U74" i="1" s="1"/>
  <c r="AB74" i="1" s="1"/>
  <c r="AH74" i="1" s="1"/>
  <c r="AH67" i="1"/>
  <c r="AN56" i="1"/>
  <c r="AK56" i="1"/>
  <c r="AL56" i="1"/>
  <c r="AL53" i="1"/>
  <c r="AI53" i="1"/>
  <c r="AJ53" i="1" s="1"/>
  <c r="AM53" i="1"/>
  <c r="AN53" i="1"/>
  <c r="S49" i="1"/>
  <c r="U49" i="1" s="1"/>
  <c r="AB49" i="1" s="1"/>
  <c r="AH49" i="1" s="1"/>
  <c r="AB43" i="1"/>
  <c r="AH43" i="1" s="1"/>
  <c r="AI38" i="1"/>
  <c r="AJ38" i="1" s="1"/>
  <c r="AM38" i="1"/>
  <c r="AK38" i="1"/>
  <c r="AL38" i="1"/>
  <c r="AI11" i="1"/>
  <c r="AJ11" i="1" s="1"/>
  <c r="AM11" i="1"/>
  <c r="AN11" i="1"/>
  <c r="AK11" i="1"/>
  <c r="AH71" i="1"/>
  <c r="AH66" i="1"/>
  <c r="AB61" i="1"/>
  <c r="AH61" i="1" s="1"/>
  <c r="AH60" i="1"/>
  <c r="AM56" i="1"/>
  <c r="AH52" i="1"/>
  <c r="AK36" i="1"/>
  <c r="AI36" i="1"/>
  <c r="AJ36" i="1" s="1"/>
  <c r="AM36" i="1"/>
  <c r="AL36" i="1"/>
  <c r="AK31" i="1"/>
  <c r="AL31" i="1"/>
  <c r="AI31" i="1"/>
  <c r="AJ31" i="1" s="1"/>
  <c r="AM31" i="1"/>
  <c r="AN31" i="1"/>
  <c r="AH25" i="1"/>
  <c r="S82" i="1"/>
  <c r="U82" i="1" s="1"/>
  <c r="AB82" i="1" s="1"/>
  <c r="AH82" i="1" s="1"/>
  <c r="AH80" i="1"/>
  <c r="AH72" i="1"/>
  <c r="AI56" i="1"/>
  <c r="AJ56" i="1" s="1"/>
  <c r="S54" i="1"/>
  <c r="U54" i="1" s="1"/>
  <c r="AB54" i="1" s="1"/>
  <c r="AH54" i="1" s="1"/>
  <c r="AH51" i="1"/>
  <c r="S46" i="1"/>
  <c r="U46" i="1" s="1"/>
  <c r="AB45" i="1" s="1"/>
  <c r="AH45" i="1" s="1"/>
  <c r="AN12" i="1"/>
  <c r="AK12" i="1"/>
  <c r="AL12" i="1"/>
  <c r="AI12" i="1"/>
  <c r="AJ12" i="1" s="1"/>
  <c r="AM12" i="1"/>
  <c r="AL11" i="1"/>
  <c r="AH30" i="1"/>
  <c r="AH21" i="1"/>
  <c r="AH27" i="1"/>
  <c r="AH6" i="1"/>
  <c r="AH40" i="1"/>
  <c r="AH39" i="1"/>
  <c r="AH37" i="1"/>
  <c r="AH35" i="1"/>
  <c r="AI34" i="1"/>
  <c r="AJ34" i="1" s="1"/>
  <c r="AM34" i="1"/>
  <c r="AK34" i="1"/>
  <c r="AH32" i="1"/>
  <c r="AI26" i="1"/>
  <c r="AJ26" i="1" s="1"/>
  <c r="AM26" i="1"/>
  <c r="AN26" i="1"/>
  <c r="AK26" i="1"/>
  <c r="AH23" i="1"/>
  <c r="AH19" i="1"/>
  <c r="AH17" i="1"/>
  <c r="R24" i="1"/>
  <c r="S24" i="1" s="1"/>
  <c r="U24" i="1" s="1"/>
  <c r="AB24" i="1" s="1"/>
  <c r="AH24" i="1" s="1"/>
  <c r="Y20" i="1"/>
  <c r="R20" i="1"/>
  <c r="S20" i="1" s="1"/>
  <c r="U20" i="1" s="1"/>
  <c r="AB20" i="1" s="1"/>
  <c r="Y13" i="1"/>
  <c r="AH13" i="1" s="1"/>
  <c r="R13" i="1"/>
  <c r="S13" i="1" s="1"/>
  <c r="U13" i="1" s="1"/>
  <c r="AB13" i="1" s="1"/>
  <c r="Y9" i="1"/>
  <c r="R9" i="1"/>
  <c r="S9" i="1" s="1"/>
  <c r="U9" i="1" s="1"/>
  <c r="AB9" i="1" s="1"/>
  <c r="Y18" i="1"/>
  <c r="AH18" i="1" s="1"/>
  <c r="R18" i="1"/>
  <c r="S18" i="1" s="1"/>
  <c r="U18" i="1" s="1"/>
  <c r="AB18" i="1" s="1"/>
  <c r="AN82" i="1" l="1"/>
  <c r="AK82" i="1"/>
  <c r="AL82" i="1"/>
  <c r="AM82" i="1"/>
  <c r="AI82" i="1"/>
  <c r="AJ82" i="1" s="1"/>
  <c r="AK43" i="1"/>
  <c r="AI43" i="1"/>
  <c r="AJ43" i="1" s="1"/>
  <c r="AM43" i="1"/>
  <c r="AN43" i="1"/>
  <c r="AL43" i="1"/>
  <c r="AL45" i="1"/>
  <c r="AI45" i="1"/>
  <c r="AJ45" i="1" s="1"/>
  <c r="AM45" i="1"/>
  <c r="AN45" i="1"/>
  <c r="AK45" i="1"/>
  <c r="AL61" i="1"/>
  <c r="AI61" i="1"/>
  <c r="AJ61" i="1" s="1"/>
  <c r="AM61" i="1"/>
  <c r="AN61" i="1"/>
  <c r="AK61" i="1"/>
  <c r="AK24" i="1"/>
  <c r="AL24" i="1"/>
  <c r="AI24" i="1"/>
  <c r="AJ24" i="1" s="1"/>
  <c r="AM24" i="1"/>
  <c r="AN24" i="1"/>
  <c r="AL99" i="1"/>
  <c r="AI99" i="1"/>
  <c r="AJ99" i="1" s="1"/>
  <c r="AM99" i="1"/>
  <c r="AN99" i="1"/>
  <c r="AK99" i="1"/>
  <c r="AN110" i="1"/>
  <c r="AM110" i="1"/>
  <c r="AK110" i="1"/>
  <c r="AL110" i="1"/>
  <c r="AI110" i="1"/>
  <c r="AJ110" i="1" s="1"/>
  <c r="AN74" i="1"/>
  <c r="AM74" i="1"/>
  <c r="AI74" i="1"/>
  <c r="AJ74" i="1" s="1"/>
  <c r="AK74" i="1"/>
  <c r="AL74" i="1"/>
  <c r="AK13" i="1"/>
  <c r="AL13" i="1"/>
  <c r="AI13" i="1"/>
  <c r="AJ13" i="1" s="1"/>
  <c r="AM13" i="1"/>
  <c r="AN13" i="1"/>
  <c r="AN35" i="1"/>
  <c r="AL35" i="1"/>
  <c r="AM35" i="1"/>
  <c r="AI35" i="1"/>
  <c r="AJ35" i="1" s="1"/>
  <c r="AK35" i="1"/>
  <c r="AI54" i="1"/>
  <c r="AJ54" i="1" s="1"/>
  <c r="AM54" i="1"/>
  <c r="AN54" i="1"/>
  <c r="AK54" i="1"/>
  <c r="AL54" i="1"/>
  <c r="AL79" i="1"/>
  <c r="AK79" i="1"/>
  <c r="AM79" i="1"/>
  <c r="AN79" i="1"/>
  <c r="AI79" i="1"/>
  <c r="AJ79" i="1" s="1"/>
  <c r="AI92" i="1"/>
  <c r="AJ92" i="1" s="1"/>
  <c r="AM92" i="1"/>
  <c r="AN92" i="1"/>
  <c r="AK92" i="1"/>
  <c r="AL92" i="1"/>
  <c r="AL98" i="1"/>
  <c r="AI98" i="1"/>
  <c r="AJ98" i="1" s="1"/>
  <c r="AM98" i="1"/>
  <c r="AN98" i="1"/>
  <c r="AK98" i="1"/>
  <c r="AN148" i="1"/>
  <c r="AK148" i="1"/>
  <c r="AM148" i="1"/>
  <c r="AL148" i="1"/>
  <c r="AI148" i="1"/>
  <c r="AJ148" i="1" s="1"/>
  <c r="AL137" i="1"/>
  <c r="AI137" i="1"/>
  <c r="AJ137" i="1" s="1"/>
  <c r="AM137" i="1"/>
  <c r="AK137" i="1"/>
  <c r="AN137" i="1"/>
  <c r="AN19" i="1"/>
  <c r="AK19" i="1"/>
  <c r="AL19" i="1"/>
  <c r="AI19" i="1"/>
  <c r="AJ19" i="1" s="1"/>
  <c r="AM19" i="1"/>
  <c r="AN27" i="1"/>
  <c r="AK27" i="1"/>
  <c r="AL27" i="1"/>
  <c r="AM27" i="1"/>
  <c r="AI27" i="1"/>
  <c r="AJ27" i="1" s="1"/>
  <c r="AI73" i="1"/>
  <c r="AJ73" i="1" s="1"/>
  <c r="AM73" i="1"/>
  <c r="AN73" i="1"/>
  <c r="AK73" i="1"/>
  <c r="AL73" i="1"/>
  <c r="AL160" i="1"/>
  <c r="AI160" i="1"/>
  <c r="AJ160" i="1" s="1"/>
  <c r="AM160" i="1"/>
  <c r="AN160" i="1"/>
  <c r="AK160" i="1"/>
  <c r="AN139" i="1"/>
  <c r="AM139" i="1"/>
  <c r="AK139" i="1"/>
  <c r="AI139" i="1"/>
  <c r="AJ139" i="1" s="1"/>
  <c r="AL139" i="1"/>
  <c r="AH9" i="1"/>
  <c r="AH20" i="1"/>
  <c r="AN23" i="1"/>
  <c r="AK23" i="1"/>
  <c r="AL23" i="1"/>
  <c r="AI23" i="1"/>
  <c r="AJ23" i="1" s="1"/>
  <c r="AM23" i="1"/>
  <c r="AN39" i="1"/>
  <c r="AL39" i="1"/>
  <c r="AM39" i="1"/>
  <c r="AI39" i="1"/>
  <c r="AJ39" i="1" s="1"/>
  <c r="AK39" i="1"/>
  <c r="AL21" i="1"/>
  <c r="AI21" i="1"/>
  <c r="AJ21" i="1" s="1"/>
  <c r="AM21" i="1"/>
  <c r="AN21" i="1"/>
  <c r="AK21" i="1"/>
  <c r="AN72" i="1"/>
  <c r="AK72" i="1"/>
  <c r="AL72" i="1"/>
  <c r="AI72" i="1"/>
  <c r="AJ72" i="1" s="1"/>
  <c r="AM72" i="1"/>
  <c r="AN66" i="1"/>
  <c r="AK66" i="1"/>
  <c r="AL66" i="1"/>
  <c r="AM66" i="1"/>
  <c r="AI66" i="1"/>
  <c r="AJ66" i="1" s="1"/>
  <c r="AI49" i="1"/>
  <c r="AJ49" i="1" s="1"/>
  <c r="AM49" i="1"/>
  <c r="AN49" i="1"/>
  <c r="AK49" i="1"/>
  <c r="AL49" i="1"/>
  <c r="AK67" i="1"/>
  <c r="AL67" i="1"/>
  <c r="AI67" i="1"/>
  <c r="AJ67" i="1" s="1"/>
  <c r="AM67" i="1"/>
  <c r="AN67" i="1"/>
  <c r="AN89" i="1"/>
  <c r="AK89" i="1"/>
  <c r="AL89" i="1"/>
  <c r="AM89" i="1"/>
  <c r="AI89" i="1"/>
  <c r="AJ89" i="1" s="1"/>
  <c r="AK96" i="1"/>
  <c r="AL96" i="1"/>
  <c r="AI96" i="1"/>
  <c r="AJ96" i="1" s="1"/>
  <c r="AM96" i="1"/>
  <c r="AN96" i="1"/>
  <c r="AL121" i="1"/>
  <c r="AK121" i="1"/>
  <c r="AI121" i="1"/>
  <c r="AJ121" i="1" s="1"/>
  <c r="AM121" i="1"/>
  <c r="AN121" i="1"/>
  <c r="AK142" i="1"/>
  <c r="AL142" i="1"/>
  <c r="AI142" i="1"/>
  <c r="AJ142" i="1" s="1"/>
  <c r="AM142" i="1"/>
  <c r="AN142" i="1"/>
  <c r="AK120" i="1"/>
  <c r="AN120" i="1"/>
  <c r="AL120" i="1"/>
  <c r="AI120" i="1"/>
  <c r="AJ120" i="1" s="1"/>
  <c r="AM120" i="1"/>
  <c r="AN135" i="1"/>
  <c r="AI135" i="1"/>
  <c r="AJ135" i="1" s="1"/>
  <c r="AK135" i="1"/>
  <c r="AL135" i="1"/>
  <c r="AM135" i="1"/>
  <c r="AK159" i="1"/>
  <c r="AL159" i="1"/>
  <c r="AN159" i="1"/>
  <c r="AI159" i="1"/>
  <c r="AJ159" i="1" s="1"/>
  <c r="AM159" i="1"/>
  <c r="AI18" i="1"/>
  <c r="AJ18" i="1" s="1"/>
  <c r="AM18" i="1"/>
  <c r="AN18" i="1"/>
  <c r="AK18" i="1"/>
  <c r="AL18" i="1"/>
  <c r="AL17" i="1"/>
  <c r="AI17" i="1"/>
  <c r="AJ17" i="1" s="1"/>
  <c r="AM17" i="1"/>
  <c r="AN17" i="1"/>
  <c r="AK17" i="1"/>
  <c r="AK32" i="1"/>
  <c r="AL32" i="1"/>
  <c r="AI32" i="1"/>
  <c r="AJ32" i="1" s="1"/>
  <c r="AM32" i="1"/>
  <c r="AN32" i="1"/>
  <c r="AN6" i="1"/>
  <c r="AK6" i="1"/>
  <c r="AL6" i="1"/>
  <c r="AM6" i="1"/>
  <c r="AI6" i="1"/>
  <c r="AJ6" i="1" s="1"/>
  <c r="AL76" i="1"/>
  <c r="AM76" i="1"/>
  <c r="AI76" i="1"/>
  <c r="AJ76" i="1" s="1"/>
  <c r="AN76" i="1"/>
  <c r="AK76" i="1"/>
  <c r="AK85" i="1"/>
  <c r="AL85" i="1"/>
  <c r="AI85" i="1"/>
  <c r="AJ85" i="1" s="1"/>
  <c r="AM85" i="1"/>
  <c r="AN85" i="1"/>
  <c r="AI65" i="1"/>
  <c r="AJ65" i="1" s="1"/>
  <c r="AM65" i="1"/>
  <c r="AN65" i="1"/>
  <c r="AK65" i="1"/>
  <c r="AL65" i="1"/>
  <c r="AL105" i="1"/>
  <c r="AI105" i="1"/>
  <c r="AJ105" i="1" s="1"/>
  <c r="AN105" i="1"/>
  <c r="AM105" i="1"/>
  <c r="AK105" i="1"/>
  <c r="AN83" i="1"/>
  <c r="AI83" i="1"/>
  <c r="AJ83" i="1" s="1"/>
  <c r="AK83" i="1"/>
  <c r="AL83" i="1"/>
  <c r="AM83" i="1"/>
  <c r="AK113" i="1"/>
  <c r="AN113" i="1"/>
  <c r="AL113" i="1"/>
  <c r="AI113" i="1"/>
  <c r="AJ113" i="1" s="1"/>
  <c r="AM113" i="1"/>
  <c r="AL131" i="1"/>
  <c r="AI131" i="1"/>
  <c r="AJ131" i="1" s="1"/>
  <c r="AM131" i="1"/>
  <c r="AN131" i="1"/>
  <c r="AK131" i="1"/>
  <c r="AL150" i="1"/>
  <c r="AK150" i="1"/>
  <c r="AI150" i="1"/>
  <c r="AJ150" i="1" s="1"/>
  <c r="AM150" i="1"/>
  <c r="AN150" i="1"/>
  <c r="AL37" i="1"/>
  <c r="AN37" i="1"/>
  <c r="AM37" i="1"/>
  <c r="AI37" i="1"/>
  <c r="AJ37" i="1" s="1"/>
  <c r="AK37" i="1"/>
  <c r="AL25" i="1"/>
  <c r="AI25" i="1"/>
  <c r="AJ25" i="1" s="1"/>
  <c r="AM25" i="1"/>
  <c r="AN25" i="1"/>
  <c r="AK25" i="1"/>
  <c r="AK52" i="1"/>
  <c r="AL52" i="1"/>
  <c r="AI52" i="1"/>
  <c r="AJ52" i="1" s="1"/>
  <c r="AM52" i="1"/>
  <c r="AN52" i="1"/>
  <c r="AI87" i="1"/>
  <c r="AJ87" i="1" s="1"/>
  <c r="AM87" i="1"/>
  <c r="AN87" i="1"/>
  <c r="AK87" i="1"/>
  <c r="AL87" i="1"/>
  <c r="AI108" i="1"/>
  <c r="AJ108" i="1" s="1"/>
  <c r="AL108" i="1"/>
  <c r="AM108" i="1"/>
  <c r="AN108" i="1"/>
  <c r="AK108" i="1"/>
  <c r="AN40" i="1"/>
  <c r="AL40" i="1"/>
  <c r="AI40" i="1"/>
  <c r="AJ40" i="1" s="1"/>
  <c r="AK40" i="1"/>
  <c r="AM40" i="1"/>
  <c r="AK30" i="1"/>
  <c r="AL30" i="1"/>
  <c r="AI30" i="1"/>
  <c r="AJ30" i="1" s="1"/>
  <c r="AM30" i="1"/>
  <c r="AN30" i="1"/>
  <c r="AN51" i="1"/>
  <c r="AK51" i="1"/>
  <c r="AL51" i="1"/>
  <c r="AI51" i="1"/>
  <c r="AJ51" i="1" s="1"/>
  <c r="AM51" i="1"/>
  <c r="AL80" i="1"/>
  <c r="AM80" i="1"/>
  <c r="AI80" i="1"/>
  <c r="AJ80" i="1" s="1"/>
  <c r="AN80" i="1"/>
  <c r="AK80" i="1"/>
  <c r="AK60" i="1"/>
  <c r="AL60" i="1"/>
  <c r="AI60" i="1"/>
  <c r="AJ60" i="1" s="1"/>
  <c r="AM60" i="1"/>
  <c r="AN60" i="1"/>
  <c r="AN71" i="1"/>
  <c r="AK71" i="1"/>
  <c r="AL71" i="1"/>
  <c r="AM71" i="1"/>
  <c r="AI71" i="1"/>
  <c r="AJ71" i="1" s="1"/>
  <c r="AK90" i="1"/>
  <c r="AL90" i="1"/>
  <c r="AI90" i="1"/>
  <c r="AJ90" i="1" s="1"/>
  <c r="AM90" i="1"/>
  <c r="AN90" i="1"/>
  <c r="AK97" i="1"/>
  <c r="AL97" i="1"/>
  <c r="AI97" i="1"/>
  <c r="AJ97" i="1" s="1"/>
  <c r="AM97" i="1"/>
  <c r="AN97" i="1"/>
  <c r="AK104" i="1"/>
  <c r="AI104" i="1"/>
  <c r="AJ104" i="1" s="1"/>
  <c r="AN104" i="1"/>
  <c r="AM104" i="1"/>
  <c r="AL104" i="1"/>
  <c r="AL153" i="1"/>
  <c r="AI153" i="1"/>
  <c r="AJ153" i="1" s="1"/>
  <c r="AM153" i="1"/>
  <c r="AK153" i="1"/>
  <c r="AN153" i="1"/>
  <c r="AL144" i="1"/>
  <c r="AI144" i="1"/>
  <c r="AJ144" i="1" s="1"/>
  <c r="AM144" i="1"/>
  <c r="AN144" i="1"/>
  <c r="AK144" i="1"/>
  <c r="AK130" i="1"/>
  <c r="AL130" i="1"/>
  <c r="AN130" i="1"/>
  <c r="AI130" i="1"/>
  <c r="AJ130" i="1" s="1"/>
  <c r="AM130" i="1"/>
  <c r="AK20" i="1" l="1"/>
  <c r="AL20" i="1"/>
  <c r="AI20" i="1"/>
  <c r="AJ20" i="1" s="1"/>
  <c r="AM20" i="1"/>
  <c r="AN20" i="1"/>
  <c r="AK9" i="1"/>
  <c r="AL9" i="1"/>
  <c r="AI9" i="1"/>
  <c r="AJ9" i="1" s="1"/>
  <c r="AM9" i="1"/>
  <c r="AN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Iris</author>
    <author>Luis</author>
  </authors>
  <commentList>
    <comment ref="C23" authorId="0" shapeId="0" xr:uid="{AC259343-1CD5-45E4-8729-10A26424CC2F}">
      <text>
        <r>
          <rPr>
            <sz val="14"/>
            <color indexed="81"/>
            <rFont val="Tahoma"/>
            <family val="2"/>
          </rPr>
          <t xml:space="preserve">IVECO TECTOR 360 - CURSOR 8 360CV 2006 -→
IVECO STRALIS 310 - CURSOR 8 310 CV 2007→
IVECO STRALIS 490S40T - CURSOR 13 EURO 5 2013→
IVECO EURO MOVER 250 - CURSOR 8 2005→
IVECO EURO MOVER 270 - CURSOR 8 2005→
IVECO EURO MOVER 310 - CURSOR 8 2005→
IVECO EUROTRAKKER 450E37 HT TURBOCOOLER - IVECO 8210-42K 13.8 1999→
IVECO STRALIS 310 - CURSOR 8 310 CV 2005→
IVECO STRALIS 490S44 - CURSOR 13 EURO 5 2013 →
IVECO STRALIS 800S44T - CURSOR 13 EURO 5 2013→
IVECO STRALIS 800S48 - CURSOR 13 EURO 5 2013 →
IVECO STRALIS 600S44T - CURSOR 13 EURO5 2013→
IVECO EUROTRAKKER 360 - CURSOR 8 2006 →
IVECO STRALIS 400 - 190S40 - CURSOR 9 400CV 2013 →
IVECO STRALIS 400 - 260S40 - CURSOR 9 400CV 2013 →
IVECO STRALIS 400 - 440S40 - CURSOR 9 400CV 2013→
IVECO STRALIS 380 (570S38T) - CURSOR 13 380 CV F3BE0681G 2006→
IVECO STRALIS 420 (570S42T) / (740S42T) - CURSOR 13 420 CV F3BE0681V 2006→
IVECO EUROTRAKKER 380 - CURSOR 13 (F3BEO681G) 2006 →
IVECO STRALIS HI-WAY 800S56TZ - CURSOR 13 560CV 2018 →
IVECO TRAKKER 420 (720T42) CURSOR 13 420 CV F3BE0681G 2008→
IVECO TRAKKER 380 (380T38) CURSOR 13 380 CV F3BE0681G 2006→
IVECO STRALIS 330 - 190S33 C/MOTOR CURSOR 9 2012 →
</t>
        </r>
      </text>
    </comment>
    <comment ref="D23" authorId="0" shapeId="0" xr:uid="{B191AABB-5D8B-4222-8D04-F17C9D53E859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4 PLISADOS DE COROLLA ACHICADOS A 206 DE ANCHO
90 plisados
</t>
        </r>
      </text>
    </comment>
    <comment ref="C25" authorId="0" shapeId="0" xr:uid="{F97196D8-8139-46F1-ABC5-57ECABBA27AA}">
      <text>
        <r>
          <rPr>
            <sz val="10"/>
            <color indexed="81"/>
            <rFont val="Tahoma"/>
            <family val="2"/>
          </rPr>
          <t>FIAT FIORINO 1,4 EVO FIRE 16V 87CV 2014 →
FIAT GRAND SIENA 1,4 FIRE EVO 2012 →
FIAT GRAND SIENA 1,6 E-TORQ 2012 →
FIAT GRAND SIENA 1,4 8V EVO 2012 -→
FIAT ARGO 1,3 121CV 2017 →
FIAT PALIO III 1,4 EVO FIRE 16V 85CV 2012 →
FIAT PALIO III MY14 - 1.4 FIRE EVO 8V 82CV 2012→
FIAT ARGO 1,0 72CV 2017 →
FIAT STRADA 1.3 8V 109CV 2020 →
FIAT STRADA 1.4 88CV 2020 →
FIAT UNO NUEVO RESTYLING - 1,0 80CV 2016 -→
FIAT UNO NUEVO - 1,4 FIRE EVO 8V 85CV 2010 →
FIAT CRONOS 1.3 FIREFLY 103CV 2018→
FIAT CRONOS 1.8 E-TORQ 130CV 2018 →
FIAT MOBI FIREFLY - 1,0 77CV 2017 →
FIAT UNO NUEVO SPORTING / WAY - 1,3 FLEX 8V DUALOGIC 2017 →
FIAT ARGO 1,8 E-TORQ 16V 130CV 2017 →
FIAT PULSE 1.3 107CV 2022→
DODGE DODGE RAM 700 - 1.3 8V 99CV 2020 →
DODGE DODGE RAM 700 - 1.4 FIRE EVO 8V 2020 →
FIAT PULSE 1.0 TURBO 130CV 2022→
FIAT FASTBACK 1.3T T270 2024→
FIAT FASTBACK 1.3T T270 ABARTH 2024→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 shapeId="0" xr:uid="{35D3721F-1C6A-4DCB-BD92-F36FC61FCBC6}">
      <text>
        <r>
          <rPr>
            <sz val="14"/>
            <color indexed="81"/>
            <rFont val="Tahoma"/>
            <family val="2"/>
          </rPr>
          <t xml:space="preserve">JEEP RENEGADE 1,6 MULTIJET CRD 120CV 2015 →
FIAT 500 L - 1,4 95CV 2014 →
JEEP RENEGADE 1.8 E-TORQ 2015 →
FIAT TORO 1.8 16V E-TORQ 2016 →
FIAT TORO 2.0 16V MULTIJET 2016 -→
JEEP RENEGADE 2,0 MULTIJET CRD 170CV 2015 →
JEEP RENEGADE LONGITUDE - 2.4 16V 2016 →
JEEP COMMANDER 2.0 TD 4X4 2022→
FIAT TORO 1.3 185CV 2021→
JEEP COMPASS 1.3 185CV 2021→
JEEP RENEGADE 1.3 TURBO 4X2 LONGITUDE 2022→
JEEP RENEGADE 1.3 TURBO 4X4 TRAILHAWK 2022→
JEEP COMMANDER 1.3T T270 175CV 2022→
DODGE DODGE RAM RAMPAGE ( REBEL / R / T ) 2.0 TURBO 272CV 2024→
</t>
        </r>
      </text>
    </comment>
    <comment ref="C35" authorId="0" shapeId="0" xr:uid="{15EF20E5-6A2C-4A92-8C2E-BAF98990A5A3}">
      <text>
        <r>
          <rPr>
            <sz val="14"/>
            <color indexed="81"/>
            <rFont val="Tahoma"/>
            <family val="2"/>
          </rPr>
          <t>VOLVO V40 1,6 16V 180CV 2014 →
FORD KUGA II 1,6 ECOBOOST STCI 150CV 2013 →
FORD KUGA II 1,6 ECOBOOST STCI 180CV 2013 →
VOLVO V40 2.0T 190CV 2018 →
VOLVO V40 2,0 T 190CV 2018 →
FORD FOCUS III KINETIC - 2.0 16V DURATEC 170CV 2013 →
FORD FOCUS III KINETIC 1.6 16V SIGMA 125CV 2013 →
FORD FOCUS II 2,0 16V DURATEC 145 CV 2009 →
FORD KUGA II 2.0 16V 240CV 2016 →
CITROEN JUMPER III 2.2 TURBODIESEL 140CV 2022 →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" authorId="0" shapeId="0" xr:uid="{8E420AA9-AB8C-4D79-99F6-192C66A832A4}">
      <text>
        <r>
          <rPr>
            <sz val="14"/>
            <color indexed="81"/>
            <rFont val="Tahoma"/>
            <family val="2"/>
          </rPr>
          <t>VOLVO V40 1,6 16V 180CV 2014 →
FORD KUGA II 1,6 ECOBOOST STCI 150CV 2013 →
FORD KUGA II 1,6 ECOBOOST STCI 180CV 2013 →
VOLVO V40 2.0T 190CV 2018 →
VOLVO V40 2,0 T 190CV 2018 →
FORD FOCUS III KINETIC - 2.0 16V DURATEC 170CV 2013 →
FORD FOCUS III KINETIC 1.6 16V SIGMA 125CV 2013 →
FORD FOCUS II 2,0 16V DURATEC 145 CV 2009 →
FORD KUGA II 2.0 16V 240CV 2016 →
CITROEN JUMPER III 2.2 TURBODIESEL 140CV 2022 →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2" authorId="0" shapeId="0" xr:uid="{9A4F2177-FB37-41FD-A02F-1CCB160AFC17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FORD MAVERICK ECOBOOST 2.0L NAFTA 4X2/4X4 2022→
FORD BRONCO 2.0 16V 240CV 2021→
FORD BRONCO 1.5 12V 175CV 2021→
FORD RANGER 3,0 TURBODIESEL V6 250CV 2023→
FORD MUSTANG MACH-E GT PERFOMANCE - 100% ELÉCTRICO 487CV 2023→
FORD RANGER 2,0 TURBODIESEL 150CV 2023→</t>
        </r>
      </text>
    </comment>
    <comment ref="C45" authorId="0" shapeId="0" xr:uid="{D62A7195-B74E-4CE4-9BAD-0DD3E1BD35BF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FORD TERRITORY 1.5 GTDI 143CV 2020 →</t>
        </r>
      </text>
    </comment>
    <comment ref="C56" authorId="0" shapeId="0" xr:uid="{6DF3D921-4861-40BD-9ADE-0328E0DDB33A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CHEVROLET CRUZE D LT / D LTZ/ 2,0 VCDI 16V 150CV 2011 →
CHEVROLET CRUZE D LT / D LTZ / 2,0 CDI 163CV 2012 →
CHEVROLET CRUZE 1.8 LIMITED (MEXICANO) 2016 →
CHEVROLET CRUZE LT / LTZ / 1,8 16V 141CV 2010 →
CHEVROLET SONIC SEDAN LT / LTZ / LTZ AT 1,6L 115CV 2012 →
CHEVROLET SONIC HATCHBACK LT / LTZ / LTZ AT 1,6L 115CV 2012 →
CHEVROLET ONIX LS / LT / LTZ - 1,0 2013 →
CHEVROLET ONIX LS / LT / LTZ - 1,4 2013 →
CHEVROLET PRISMA 1.4 2013 →
CHEVROLET SPIN 1.8 8V 2012 →
CHEVROLET SPIN TD LTZ - 1.3 D 75CV 2013 →
CHEVROLET ONIX EFFECT - 1.4 8V 98CV 2015 →
CHEVROLET TRACKER 1,8 16V 140CV 2013 →
CHEVROLET COBALT 1,8 8V 105CV 2018 →
CHEVROLET SPIN 1.8 8V 105CV 2018 →
CHEVROLET JOY 1.4 8V 98CV 2017 →
CHEVROLET JOY PLUS - 1.4 8V 98CV 2017 →
CHEVROLET ONIX 1,4 8V 98CV 2017 →</t>
        </r>
      </text>
    </comment>
    <comment ref="D70" authorId="0" shapeId="0" xr:uid="{670A3820-177C-49ED-8C27-CDE6F9303EE7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18+18+9
</t>
        </r>
      </text>
    </comment>
    <comment ref="C79" authorId="0" shapeId="0" xr:uid="{A4C09770-374A-4234-9B5F-A43D615DFB3E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plisado de palio con corte
</t>
        </r>
      </text>
    </comment>
    <comment ref="AC84" authorId="1" shapeId="0" xr:uid="{3FC467DE-3F0E-46E7-AD3E-35D0B6405C99}">
      <text>
        <r>
          <rPr>
            <b/>
            <sz val="9"/>
            <color indexed="81"/>
            <rFont val="Tahoma"/>
            <family val="2"/>
          </rPr>
          <t>Luis:</t>
        </r>
        <r>
          <rPr>
            <sz val="9"/>
            <color indexed="81"/>
            <rFont val="Tahoma"/>
            <family val="2"/>
          </rPr>
          <t xml:space="preserve">
COSTO TAPA
</t>
        </r>
      </text>
    </comment>
    <comment ref="C85" authorId="0" shapeId="0" xr:uid="{12512278-E035-48E6-8154-29E379DEA30A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RENAULT DUSTER 1,6 16V 110CV 2011 →
RENAULT LOGAN 1,6 8V 90CV 2011 →
RENAULT SANDERO 1,6 8V HI-FLEX 2015 →
RENAULT SANDERO GT LINE - 1,6 16V 102CV 2012 →
RENAULT SANDERO 1,6 16V 102CV 2008 →
RENAULT SANDERO STEPWAY - 1,6 16V 102CV 2009 →
RENAULT SANDERO 1,6 8V HI-FLEX 2007 →
RENAULT SANDERO 1,5 DCI 8V 67CV 2009 →
RENAULT DUSTER OROCH 1,6 16V 110CV 2015 →
RENAULT MEGANE III CAJA AUTOMÁTICA - 1.6 16V 2013 →
RENAULT DUSTER OROCH 2,0 16V 148CV 2015 →
RENAULT DUSTER 2.0 16V 148CV 2015 -→
RENAULT DUSTER 2,0 16V 138CV 2011 →
RENAULT LOGAN 1,6 8V 105CV 2013 →</t>
        </r>
      </text>
    </comment>
    <comment ref="D89" authorId="0" shapeId="0" xr:uid="{D6260E00-16F6-4625-B2F5-DF0224F4C411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4 FILAS DE 24
</t>
        </r>
      </text>
    </comment>
    <comment ref="D104" authorId="0" shapeId="0" xr:uid="{557710BC-3A4F-4507-9E26-A6740AC04C59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27
27
8
</t>
        </r>
      </text>
    </comment>
    <comment ref="D105" authorId="0" shapeId="0" xr:uid="{6FD15F95-E1D3-4C85-849F-0ECBD104AB20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36 Plisados  ranger
peine suran</t>
        </r>
      </text>
    </comment>
    <comment ref="C112" authorId="0" shapeId="0" xr:uid="{5E25B595-258D-4E88-9B4E-84BFCF2F43F8}">
      <text>
        <r>
          <rPr>
            <b/>
            <sz val="14"/>
            <color indexed="81"/>
            <rFont val="Tahoma"/>
            <family val="2"/>
          </rPr>
          <t>MERCEDES BENZ CLASE A A 190 - 1,9 8V 126CV 99 →
MERCEDES BENZ SPRINTER 415 CDI - OM 646LA 2012 →
MERCEDES BENZ SPRINTER 515 CDI - OM 646LA 2012 →
MERCEDES BENZ SPRINTER 311 - OM 651 CDI 2.2 2009 →</t>
        </r>
      </text>
    </comment>
    <comment ref="D131" authorId="0" shapeId="0" xr:uid="{790BA0CA-2AA2-47FD-834D-E6608B6C5062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37
37
12
</t>
        </r>
      </text>
    </comment>
    <comment ref="D155" authorId="0" shapeId="0" xr:uid="{93599689-B822-4B82-992A-F8CDA4B205CF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35 PLISADOS ARGO
</t>
        </r>
      </text>
    </comment>
    <comment ref="D158" authorId="0" shapeId="0" xr:uid="{4474698D-2D5F-4E86-BFA5-89620F36A4C7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48
 plisado 18 mm
9,4mm
</t>
        </r>
      </text>
    </comment>
    <comment ref="C167" authorId="0" shapeId="0" xr:uid="{D4C20772-4747-4517-BC36-0DAB51E8E1C5}">
      <text>
        <r>
          <rPr>
            <b/>
            <sz val="9"/>
            <color indexed="81"/>
            <rFont val="Tahoma"/>
            <family val="2"/>
          </rPr>
          <t>Iris:</t>
        </r>
        <r>
          <rPr>
            <sz val="9"/>
            <color indexed="81"/>
            <rFont val="Tahoma"/>
            <family val="2"/>
          </rPr>
          <t xml:space="preserve">
MITSUBISHI Airtek 2,4 16v 163cv 2006 → 2007
MITSUBISHI Lancer 2,0 16v 135cv 2005 →
MITSUBISHI Montero Sport - 3,2 di-d 16v 163cv 2011 →
MITSUBISHI Outlander 3,0 V6 220cv 2008 →
MITSUBISHI L 200 Triton Sport - 2.4L Turbo Diesel 190cv 2016 →
MITSUBISHI L 200 Triton - 2.4 Nafta HLS 2013 →
MITSUBISHI L 200 3,2 16V DOHC Turbo Triton HPE 2009 →</t>
        </r>
      </text>
    </comment>
    <comment ref="C170" authorId="0" shapeId="0" xr:uid="{1F2C944E-403E-4A2F-B661-C539386928CC}">
      <text>
        <r>
          <rPr>
            <sz val="14"/>
            <color indexed="81"/>
            <rFont val="Tahoma"/>
            <family val="2"/>
          </rPr>
          <t>MINI COUPÉ 1,6 16V 184CV 2012 →
MINI COOPER II 1,6 16V 175CV 2007 →
MINI COUPÉ 1,6 16V 211CV 2012 →
MINI COUPÉ 1,6 16V 122CV 2012 →
MINI COUNTRYMAN 1,6 16V 184CV 2010 →
MINI COUNTRYMAN 2,0 SD 16V 143CV 2011 →
MINI COUNTRYMAN 1,6 16V 98CV 2010 →
MINI COOPER II 1,6 16V 120CV 2006 →
MINI COOPER II 1,6 16V 120CV 2006 →
MINI COOPER II 1,6 16V 211CV 2010 →</t>
        </r>
      </text>
    </comment>
  </commentList>
</comments>
</file>

<file path=xl/sharedStrings.xml><?xml version="1.0" encoding="utf-8"?>
<sst xmlns="http://schemas.openxmlformats.org/spreadsheetml/2006/main" count="1196" uniqueCount="836">
  <si>
    <t>Código</t>
  </si>
  <si>
    <t>Aplicación</t>
  </si>
  <si>
    <t>Largo Final</t>
  </si>
  <si>
    <t>Ancho</t>
  </si>
  <si>
    <t>Alto</t>
  </si>
  <si>
    <t>Nº Original</t>
  </si>
  <si>
    <t>Fram</t>
  </si>
  <si>
    <t>Mann</t>
  </si>
  <si>
    <t xml:space="preserve">ALFA ROMEO       </t>
  </si>
  <si>
    <t>169 mm</t>
  </si>
  <si>
    <t>18 mm</t>
  </si>
  <si>
    <t>285 mm</t>
  </si>
  <si>
    <t>291 mm</t>
  </si>
  <si>
    <t>159 mm</t>
  </si>
  <si>
    <t>30 mm</t>
  </si>
  <si>
    <t>CF 5819</t>
  </si>
  <si>
    <t>CU 2951</t>
  </si>
  <si>
    <t>230 mm</t>
  </si>
  <si>
    <t>220 mm</t>
  </si>
  <si>
    <t>CITROEN</t>
  </si>
  <si>
    <t>208 mm</t>
  </si>
  <si>
    <t>216 mm</t>
  </si>
  <si>
    <t>224 mm</t>
  </si>
  <si>
    <t>CF 9294</t>
  </si>
  <si>
    <t>CU 2245</t>
  </si>
  <si>
    <t>176 mm</t>
  </si>
  <si>
    <t>6447 NT</t>
  </si>
  <si>
    <t>CF 9398</t>
  </si>
  <si>
    <t>CU 2940</t>
  </si>
  <si>
    <t>Xsara/Picasso</t>
  </si>
  <si>
    <t>256 mm</t>
  </si>
  <si>
    <t>200 mm</t>
  </si>
  <si>
    <t>6447 LN</t>
  </si>
  <si>
    <t>CF 9406</t>
  </si>
  <si>
    <t>CUK 2680</t>
  </si>
  <si>
    <t>190 mm</t>
  </si>
  <si>
    <t>153 mm</t>
  </si>
  <si>
    <t>156 mm</t>
  </si>
  <si>
    <t>CU 21000-2</t>
  </si>
  <si>
    <t>203 mm</t>
  </si>
  <si>
    <t>FIAT</t>
  </si>
  <si>
    <t>Adventure/Idea/Palio Fase III/Siena Fase III</t>
  </si>
  <si>
    <t>258 mm</t>
  </si>
  <si>
    <t>166 mm</t>
  </si>
  <si>
    <t>CF 9478</t>
  </si>
  <si>
    <t>CU 2644</t>
  </si>
  <si>
    <t>20 mm</t>
  </si>
  <si>
    <t>310 mm</t>
  </si>
  <si>
    <t xml:space="preserve">Iveco Daily </t>
  </si>
  <si>
    <t>288 mm</t>
  </si>
  <si>
    <t>CU 2956</t>
  </si>
  <si>
    <t>CF 10829-2</t>
  </si>
  <si>
    <t>CU 2040</t>
  </si>
  <si>
    <t>205 mm</t>
  </si>
  <si>
    <t>26 mm</t>
  </si>
  <si>
    <t>187 mm</t>
  </si>
  <si>
    <t>FORD</t>
  </si>
  <si>
    <t xml:space="preserve">Courier/Fiesta III/Fiesta IV/ KA I/KA II/Cargo </t>
  </si>
  <si>
    <t>340 mm</t>
  </si>
  <si>
    <t>148 mm</t>
  </si>
  <si>
    <t>CF 5817</t>
  </si>
  <si>
    <t>CU 3554</t>
  </si>
  <si>
    <t>240 mm</t>
  </si>
  <si>
    <t>189 mm</t>
  </si>
  <si>
    <t>35 mm</t>
  </si>
  <si>
    <t>CF 9878</t>
  </si>
  <si>
    <t>CU 2433</t>
  </si>
  <si>
    <t>Focus II</t>
  </si>
  <si>
    <t>235 mm</t>
  </si>
  <si>
    <t>204 mm</t>
  </si>
  <si>
    <t>CU 2440</t>
  </si>
  <si>
    <t>CU 2436</t>
  </si>
  <si>
    <t>Ranger</t>
  </si>
  <si>
    <t>214 mm</t>
  </si>
  <si>
    <t>234 mm</t>
  </si>
  <si>
    <t>AB3919N619AA</t>
  </si>
  <si>
    <t>CF 11548</t>
  </si>
  <si>
    <t>CU 24006</t>
  </si>
  <si>
    <t>22 mm</t>
  </si>
  <si>
    <t>CF 10569</t>
  </si>
  <si>
    <t>Transit</t>
  </si>
  <si>
    <t>211 mm</t>
  </si>
  <si>
    <t>CU 22013</t>
  </si>
  <si>
    <t>CHEVROLET</t>
  </si>
  <si>
    <t>Agile/Astra/Celta/Classic/Corsa</t>
  </si>
  <si>
    <t>410 mm</t>
  </si>
  <si>
    <t>142 mm</t>
  </si>
  <si>
    <t>CF 5475</t>
  </si>
  <si>
    <t>CU 4251</t>
  </si>
  <si>
    <t>Astra II</t>
  </si>
  <si>
    <t>286 mm</t>
  </si>
  <si>
    <t>194 mm</t>
  </si>
  <si>
    <t>1808610/52467569/93373161</t>
  </si>
  <si>
    <t>CF 8868</t>
  </si>
  <si>
    <t>CU 3054</t>
  </si>
  <si>
    <t>Meriva</t>
  </si>
  <si>
    <t>209 mm</t>
  </si>
  <si>
    <t>239 mm</t>
  </si>
  <si>
    <t>93397033/93174800 6808604/93347472</t>
  </si>
  <si>
    <t>CFA 10113</t>
  </si>
  <si>
    <t>CU 2143</t>
  </si>
  <si>
    <t>32 mm</t>
  </si>
  <si>
    <t>Aveo</t>
  </si>
  <si>
    <t>198 mm</t>
  </si>
  <si>
    <t>CU 2330</t>
  </si>
  <si>
    <t>CU 2442</t>
  </si>
  <si>
    <t>S-10</t>
  </si>
  <si>
    <t>84384A500A</t>
  </si>
  <si>
    <t>CU 2141</t>
  </si>
  <si>
    <t>PEUGEOT</t>
  </si>
  <si>
    <t>335 mm</t>
  </si>
  <si>
    <t>157 mm</t>
  </si>
  <si>
    <t>6447 AZ</t>
  </si>
  <si>
    <t>CF 9071</t>
  </si>
  <si>
    <t>CU 3448</t>
  </si>
  <si>
    <t>6447 KK</t>
  </si>
  <si>
    <t>6447 KR</t>
  </si>
  <si>
    <t>6447 VY</t>
  </si>
  <si>
    <t>301 1.6 16 V (2017)</t>
  </si>
  <si>
    <t>236 mm</t>
  </si>
  <si>
    <t>A 22003200</t>
  </si>
  <si>
    <t>RENAULT</t>
  </si>
  <si>
    <t>193 mm</t>
  </si>
  <si>
    <t>Clio II/Kangoo express/Rapid/Megane I/Scenic I</t>
  </si>
  <si>
    <t>160 mm</t>
  </si>
  <si>
    <t>CF 8838</t>
  </si>
  <si>
    <t>CU 2945</t>
  </si>
  <si>
    <t>196 mm</t>
  </si>
  <si>
    <t>CF 11686</t>
  </si>
  <si>
    <t>CU 22019</t>
  </si>
  <si>
    <t>Master III</t>
  </si>
  <si>
    <t>108 mm</t>
  </si>
  <si>
    <t>CU 2418-2</t>
  </si>
  <si>
    <t>Duster II/Captur/Logan II/Sandero II/ Clio IV</t>
  </si>
  <si>
    <t>CU 22011</t>
  </si>
  <si>
    <t>Kwid</t>
  </si>
  <si>
    <t>2727799698R</t>
  </si>
  <si>
    <t>Kangoo desde el 2018</t>
  </si>
  <si>
    <t>279 mm</t>
  </si>
  <si>
    <t>1H0819644</t>
  </si>
  <si>
    <t>CF 5663</t>
  </si>
  <si>
    <t>CU 2882</t>
  </si>
  <si>
    <t>WOLKSWAGEN/AUDI</t>
  </si>
  <si>
    <t>Caddy II (9K9,9U7)/Gol/Gol Country/Saveiro</t>
  </si>
  <si>
    <t>294 mm</t>
  </si>
  <si>
    <t>147 mm</t>
  </si>
  <si>
    <t>CF 9084</t>
  </si>
  <si>
    <t>CU 3162</t>
  </si>
  <si>
    <t>251 mm</t>
  </si>
  <si>
    <t>6Q0820367</t>
  </si>
  <si>
    <t>CF 9323</t>
  </si>
  <si>
    <t>CU 2545</t>
  </si>
  <si>
    <t>179 mm</t>
  </si>
  <si>
    <t>Audi Q7(4L)/Amarok (2H)/Toureg I(7L)/Transporter/Bus (TS)</t>
  </si>
  <si>
    <t>278 mm</t>
  </si>
  <si>
    <t>213 mm</t>
  </si>
  <si>
    <t>7H0819631A</t>
  </si>
  <si>
    <t>CU 2842</t>
  </si>
  <si>
    <t>VW UP</t>
  </si>
  <si>
    <t>253 mm</t>
  </si>
  <si>
    <t>180 mm</t>
  </si>
  <si>
    <t>CU 26006</t>
  </si>
  <si>
    <t>MERCEDES BENZ</t>
  </si>
  <si>
    <t>Sprinter II (906)</t>
  </si>
  <si>
    <t>350 mm</t>
  </si>
  <si>
    <t>CU 3569</t>
  </si>
  <si>
    <t>184 mm</t>
  </si>
  <si>
    <t>TOYOTA</t>
  </si>
  <si>
    <t>28 mm</t>
  </si>
  <si>
    <t>CF 10892</t>
  </si>
  <si>
    <t>CU 1919</t>
  </si>
  <si>
    <t>Etios 2014-&gt;</t>
  </si>
  <si>
    <t>132 mm</t>
  </si>
  <si>
    <t>871390D080</t>
  </si>
  <si>
    <t>Hilux desde 2016</t>
  </si>
  <si>
    <t>CF-12145</t>
  </si>
  <si>
    <t>NISSAN</t>
  </si>
  <si>
    <t xml:space="preserve"> </t>
  </si>
  <si>
    <t>96539649 / 96449577 / 96539649 / 96962173</t>
  </si>
  <si>
    <t>Cross Fox,Fox (5Z1),Gol,Saveiro,Suran,Suran Cross,VoyageII - SEATCordoba (6K2),Ibiza IV,Ibiza V</t>
  </si>
  <si>
    <t>Avensis II( T27)/Camry/Corolla X (E14/E15)/Etios - Hilux/Land Cruiser/Prius/pruis +/RAV 4 III/RAV IV</t>
  </si>
  <si>
    <t>290 mm</t>
  </si>
  <si>
    <t>95 mm</t>
  </si>
  <si>
    <t>6447 XG</t>
  </si>
  <si>
    <t>CUK 29003-2</t>
  </si>
  <si>
    <t>3008/3008 II/5008/5008 II (P87)/Expert III (K0)/Partner II/Traveller</t>
  </si>
  <si>
    <t>costo plixado</t>
  </si>
  <si>
    <t>costo pegamento</t>
  </si>
  <si>
    <t>costo bolsita</t>
  </si>
  <si>
    <t>costo etiqueta</t>
  </si>
  <si>
    <t>costo mayorista</t>
  </si>
  <si>
    <t>costo comercio</t>
  </si>
  <si>
    <t xml:space="preserve">Bora </t>
  </si>
  <si>
    <t>208 Nuevo</t>
  </si>
  <si>
    <t>EcoSport/Fiesta III/Fiesta V Rocam</t>
  </si>
  <si>
    <t>Eco Sport / Fiesta Kinetic Design/ KA III</t>
  </si>
  <si>
    <t>CUk 20011</t>
  </si>
  <si>
    <t>Argo/Cronos/Mobi/Uno (146/158/246)/500/Grand Siena/Palio (326)</t>
  </si>
  <si>
    <t>246 mm</t>
  </si>
  <si>
    <t>CU 25012</t>
  </si>
  <si>
    <t>CU 20040</t>
  </si>
  <si>
    <t>Toro / 500 / Jeep Renegade</t>
  </si>
  <si>
    <t>CU 16005</t>
  </si>
  <si>
    <t>Doblo/Doblo Cargo (152/263)/Fiorino (225)/Qubo (300)/Punto / Linea</t>
  </si>
  <si>
    <t>kicks</t>
  </si>
  <si>
    <t>HONDA</t>
  </si>
  <si>
    <t>ganancia</t>
  </si>
  <si>
    <t>Berlingo I (M 49,M59)/Berlingo II (B9)      ( 357 )</t>
  </si>
  <si>
    <t>Berlingo I (M 49,M59)/C3/C3X-TR (FC)     ( 354 )</t>
  </si>
  <si>
    <t>Berlingo I (M 49,M59)/C3 /C3X-TR (FC)      (354 )</t>
  </si>
  <si>
    <t xml:space="preserve"> 206/207/Hoggar            </t>
  </si>
  <si>
    <t>Partner (Ranch)/Partner II       ( 152 )</t>
  </si>
  <si>
    <t xml:space="preserve"> 207/208     ( 161/2 )</t>
  </si>
  <si>
    <t>Bora (1J2,1J6)/Caddy II (9K9,9U7)/Gol/Golf (AR)/Golf (1J1,1J5) - New Beetle/New Beetle Cabrio/Passat (3B3/3B6) - Polo II (6 N1/6 V2/6 V5) Polo IV (9N)A3(8L)/A3Cabriolet  (8P)/TT/TTS/TTRSII(8J)/TTI(8N)/ VWBora (1J2,1J6) - Golf IV (1J1,1J5)/SEAT TOLEDO II    ( 452 )</t>
  </si>
  <si>
    <t>C3 Air Cross/C3II(AirCross)/C3 Picasso/DS 3           ( 359/2 )</t>
  </si>
  <si>
    <t>Astra/Zafira</t>
  </si>
  <si>
    <t>228 mm</t>
  </si>
  <si>
    <t>CF 8867</t>
  </si>
  <si>
    <t>CU 2757</t>
  </si>
  <si>
    <t>CR-VI/Civic III/Civic IV</t>
  </si>
  <si>
    <t>210 mm</t>
  </si>
  <si>
    <t>79831ST3EC1</t>
  </si>
  <si>
    <t>CF 5865</t>
  </si>
  <si>
    <t>CU 2253</t>
  </si>
  <si>
    <t xml:space="preserve"> AudiA3/S3/TT/ VWGolf V/Golf VI/Passat/Tiguan/Touran/Vento</t>
  </si>
  <si>
    <t>270 mm</t>
  </si>
  <si>
    <t>34 mm</t>
  </si>
  <si>
    <t>1K1819653A</t>
  </si>
  <si>
    <t>CFA 9921</t>
  </si>
  <si>
    <t>CUK 2939</t>
  </si>
  <si>
    <t>costo armado</t>
  </si>
  <si>
    <t>costo caja</t>
  </si>
  <si>
    <t>costo embolsado</t>
  </si>
  <si>
    <t>136 mm</t>
  </si>
  <si>
    <t>103 mm</t>
  </si>
  <si>
    <t>Iveco Daily IV/Eco Daily (06-&gt;11)</t>
  </si>
  <si>
    <t>185 mm</t>
  </si>
  <si>
    <t>292 mm</t>
  </si>
  <si>
    <t>CU 2952</t>
  </si>
  <si>
    <t>H1</t>
  </si>
  <si>
    <t>HYUNDAI</t>
  </si>
  <si>
    <t>118 mm</t>
  </si>
  <si>
    <t>201 mm</t>
  </si>
  <si>
    <t>A9008350600</t>
  </si>
  <si>
    <t>Sprinter 411/415/515 2012-&gt;  2.2 TURBO DIESEL 2015-&gt;</t>
  </si>
  <si>
    <t>535 mm</t>
  </si>
  <si>
    <t>110 mm</t>
  </si>
  <si>
    <t>costo leterales carton</t>
  </si>
  <si>
    <t>298 mm</t>
  </si>
  <si>
    <t>207 mm</t>
  </si>
  <si>
    <t>A4478300100</t>
  </si>
  <si>
    <t>vito 2016-&gt;  Sprinter 2020-&gt;</t>
  </si>
  <si>
    <t>Focus III - FIESTA MAX - KUGA II  (313)</t>
  </si>
  <si>
    <t>CHERY</t>
  </si>
  <si>
    <t>TIGGO</t>
  </si>
  <si>
    <t>17 mm</t>
  </si>
  <si>
    <t>Fluence</t>
  </si>
  <si>
    <t>cu 26005</t>
  </si>
  <si>
    <t>EXPERT II</t>
  </si>
  <si>
    <t>375mm</t>
  </si>
  <si>
    <t>175mm</t>
  </si>
  <si>
    <t>35mm</t>
  </si>
  <si>
    <t>ATEGO II</t>
  </si>
  <si>
    <t>CU28009</t>
  </si>
  <si>
    <t>225 mm</t>
  </si>
  <si>
    <t>276 mm</t>
  </si>
  <si>
    <t>40 mm</t>
  </si>
  <si>
    <t>Maverick III, kuga III, Bronco SP</t>
  </si>
  <si>
    <t>Kuga I/Mondeo IV/S-Max (313)</t>
  </si>
  <si>
    <t>Onix/Spin/Cobalt/Sonic/Prisma II/Tracker/Trail Blazer (257-261)</t>
  </si>
  <si>
    <t>Wega</t>
  </si>
  <si>
    <t>AKX 35183</t>
  </si>
  <si>
    <t xml:space="preserve">costo espuma </t>
  </si>
  <si>
    <t>costo goma eva</t>
  </si>
  <si>
    <t>Civic New CRV</t>
  </si>
  <si>
    <t>CITY</t>
  </si>
  <si>
    <t>Sprinter I (901/902/903/904)</t>
  </si>
  <si>
    <t>akx 35321</t>
  </si>
  <si>
    <t>filtros x caja</t>
  </si>
  <si>
    <t>83 mm</t>
  </si>
  <si>
    <t>AKX-1452/2</t>
  </si>
  <si>
    <t>CU 26025-2</t>
  </si>
  <si>
    <t>AKX-1014</t>
  </si>
  <si>
    <t>6479 A1</t>
  </si>
  <si>
    <t>AKX-1446</t>
  </si>
  <si>
    <t>AKX-35164</t>
  </si>
  <si>
    <t>CF 10205-2</t>
  </si>
  <si>
    <t>AKX-35345/2</t>
  </si>
  <si>
    <t>Ducato 2202 (244)/ Ducato 2007 (250/251/252/254) Ducato 94 (230/231/232/234)/Iveco Daily II (89/99)</t>
  </si>
  <si>
    <t>143 mm</t>
  </si>
  <si>
    <t>CU 4442</t>
  </si>
  <si>
    <t>CF 8890</t>
  </si>
  <si>
    <t>AKX 3548</t>
  </si>
  <si>
    <t>435 mm</t>
  </si>
  <si>
    <t>156/156 Sportwagon (209)</t>
  </si>
  <si>
    <t>transit 2014 ---&gt;</t>
  </si>
  <si>
    <t>232 mm</t>
  </si>
  <si>
    <t>BK21/18D543/AA</t>
  </si>
  <si>
    <t>AKX-35184</t>
  </si>
  <si>
    <t>CF 11743</t>
  </si>
  <si>
    <t>CU 29007</t>
  </si>
  <si>
    <t>FHL-365/2</t>
  </si>
  <si>
    <t>FHL-153</t>
  </si>
  <si>
    <t>FHL-154</t>
  </si>
  <si>
    <t>FHL-152</t>
  </si>
  <si>
    <t>FHL-103</t>
  </si>
  <si>
    <t>FHL-156</t>
  </si>
  <si>
    <t>FHL-161/2</t>
  </si>
  <si>
    <t>FHL-203</t>
  </si>
  <si>
    <t>FHL-205</t>
  </si>
  <si>
    <t>FHL-206</t>
  </si>
  <si>
    <t>FHL-209</t>
  </si>
  <si>
    <t>FHL-210</t>
  </si>
  <si>
    <t>FHL-213</t>
  </si>
  <si>
    <t>FHL-214</t>
  </si>
  <si>
    <t>FHL-215</t>
  </si>
  <si>
    <t>FHL-251</t>
  </si>
  <si>
    <t>FHL-254</t>
  </si>
  <si>
    <t>FHL-256</t>
  </si>
  <si>
    <t>FHL-257</t>
  </si>
  <si>
    <t>FHL-259</t>
  </si>
  <si>
    <t>FHL-260</t>
  </si>
  <si>
    <t>FHL-261</t>
  </si>
  <si>
    <t>FHL-262</t>
  </si>
  <si>
    <t>FHL-263</t>
  </si>
  <si>
    <t>FHL-265</t>
  </si>
  <si>
    <t>FHL-301</t>
  </si>
  <si>
    <t>FHL-303</t>
  </si>
  <si>
    <t>FHL-306</t>
  </si>
  <si>
    <t>FHL-308</t>
  </si>
  <si>
    <t>FHL-310</t>
  </si>
  <si>
    <t>FHL-313</t>
  </si>
  <si>
    <t>FHL-314</t>
  </si>
  <si>
    <t>FHL-353</t>
  </si>
  <si>
    <t>FHL-354</t>
  </si>
  <si>
    <t>FHL-357</t>
  </si>
  <si>
    <t>FHL-359/2</t>
  </si>
  <si>
    <t>FHL-360</t>
  </si>
  <si>
    <t>FHL-361/2</t>
  </si>
  <si>
    <t>FHL-363</t>
  </si>
  <si>
    <t>FHL-405</t>
  </si>
  <si>
    <t>Laguna II</t>
  </si>
  <si>
    <t>FHL-407</t>
  </si>
  <si>
    <t>FHL-410</t>
  </si>
  <si>
    <t>FHL-411</t>
  </si>
  <si>
    <t>FHL-414/2</t>
  </si>
  <si>
    <t>FHL-415</t>
  </si>
  <si>
    <t>FHL-416</t>
  </si>
  <si>
    <t xml:space="preserve">FHL-417 </t>
  </si>
  <si>
    <t>CF 9364</t>
  </si>
  <si>
    <t>CU 2149</t>
  </si>
  <si>
    <t>AKX-1200</t>
  </si>
  <si>
    <t>FHL-501</t>
  </si>
  <si>
    <t>FHL-503</t>
  </si>
  <si>
    <t>FHL-508</t>
  </si>
  <si>
    <t>FHL-512</t>
  </si>
  <si>
    <t>FHL-515</t>
  </si>
  <si>
    <t>FHL-517</t>
  </si>
  <si>
    <t>FHL-519</t>
  </si>
  <si>
    <t>FHL-553</t>
  </si>
  <si>
    <t>FHL-560</t>
  </si>
  <si>
    <t>FHL-564</t>
  </si>
  <si>
    <t>FHL-601</t>
  </si>
  <si>
    <t>FHL-604</t>
  </si>
  <si>
    <t>FHL-605</t>
  </si>
  <si>
    <t>FHL-953</t>
  </si>
  <si>
    <t>FHL-954</t>
  </si>
  <si>
    <t>FHL-955</t>
  </si>
  <si>
    <t>FHL-1251</t>
  </si>
  <si>
    <t>FHL-1006</t>
  </si>
  <si>
    <t>FHL-302</t>
  </si>
  <si>
    <t>Corsa II/Montana/Nuevo Corsa</t>
  </si>
  <si>
    <t>330 mm</t>
  </si>
  <si>
    <t>163 mm</t>
  </si>
  <si>
    <t>CF 9495</t>
  </si>
  <si>
    <t>CU 3337</t>
  </si>
  <si>
    <t>costo MDP con bolsa</t>
  </si>
  <si>
    <t>costo MDP c/bolsa starfilt</t>
  </si>
  <si>
    <t>126 mm</t>
  </si>
  <si>
    <t>15 mm</t>
  </si>
  <si>
    <t>CELER, FULWIN II, TIGGO 2</t>
  </si>
  <si>
    <t>B138107915</t>
  </si>
  <si>
    <t>AKX-1701</t>
  </si>
  <si>
    <t>FHL-1255</t>
  </si>
  <si>
    <t>HONDA HR-V 1,6 16V VTEC 125CV 99 →</t>
  </si>
  <si>
    <t>FHL-606</t>
  </si>
  <si>
    <t>96 mm</t>
  </si>
  <si>
    <t>AKX-1456</t>
  </si>
  <si>
    <t>AKX-1939</t>
  </si>
  <si>
    <t>AKX-1455</t>
  </si>
  <si>
    <t>CU 1823</t>
  </si>
  <si>
    <t>802915S2H505</t>
  </si>
  <si>
    <t>FHL-201</t>
  </si>
  <si>
    <t>AKX 1372</t>
  </si>
  <si>
    <t>CU 2344</t>
  </si>
  <si>
    <t>CF 8989</t>
  </si>
  <si>
    <t>Palio / siena EL 96 →</t>
  </si>
  <si>
    <t xml:space="preserve">230 mm </t>
  </si>
  <si>
    <t xml:space="preserve">211 mm </t>
  </si>
  <si>
    <t>FHL-219</t>
  </si>
  <si>
    <t>FIAT DUCATO 2,3 JTD 2018→</t>
  </si>
  <si>
    <t>252 mm</t>
  </si>
  <si>
    <t>13 mm</t>
  </si>
  <si>
    <t>K68169308AA</t>
  </si>
  <si>
    <t>AKX 3550</t>
  </si>
  <si>
    <t>FHL-413</t>
  </si>
  <si>
    <t>KOLEOS</t>
  </si>
  <si>
    <t>181 mm</t>
  </si>
  <si>
    <t>27277011223/ 27891JY10A</t>
  </si>
  <si>
    <t>272770840R</t>
  </si>
  <si>
    <t>CFA 10528</t>
  </si>
  <si>
    <t>CUK 2620</t>
  </si>
  <si>
    <t>AKX-1395/C</t>
  </si>
  <si>
    <t>250 mm</t>
  </si>
  <si>
    <t>TUCSON, CRETA, KONA</t>
  </si>
  <si>
    <t>CU 23019</t>
  </si>
  <si>
    <t>AKX 1998</t>
  </si>
  <si>
    <t>97133D1000 97133D2000 97133D3000</t>
  </si>
  <si>
    <t>KIA</t>
  </si>
  <si>
    <t>FHL-1200</t>
  </si>
  <si>
    <t>SPORTAGE IV, SELTOS, K4 LATINOAMERICA</t>
  </si>
  <si>
    <t>FHL-1203</t>
  </si>
  <si>
    <t xml:space="preserve">SPORTAGE  </t>
  </si>
  <si>
    <t>AKX-1984</t>
  </si>
  <si>
    <t>CU 2336</t>
  </si>
  <si>
    <t>971332E200  971332E210</t>
  </si>
  <si>
    <t>TUCSON  2.0 CRDI </t>
  </si>
  <si>
    <t xml:space="preserve">203 mm </t>
  </si>
  <si>
    <t>FHL-854</t>
  </si>
  <si>
    <t>FHL-860</t>
  </si>
  <si>
    <t>FHL-865/2</t>
  </si>
  <si>
    <t>MARCH, NOTE, VERSA</t>
  </si>
  <si>
    <t>FHL-1005</t>
  </si>
  <si>
    <t>AY684NS018 272771HE0E BRPRT10429</t>
  </si>
  <si>
    <t>AKX-1959</t>
  </si>
  <si>
    <t>CF 11243</t>
  </si>
  <si>
    <t>FHL-270</t>
  </si>
  <si>
    <t>FHL-1009</t>
  </si>
  <si>
    <t>272775XA0A A4708350000</t>
  </si>
  <si>
    <t>AKX-1993</t>
  </si>
  <si>
    <t>CU 22028</t>
  </si>
  <si>
    <t>CF 10431</t>
  </si>
  <si>
    <t>FHL-420</t>
  </si>
  <si>
    <t>ALASKAN (314)</t>
  </si>
  <si>
    <t>FRONTIER (314)</t>
  </si>
  <si>
    <t>4008  ( 314 )</t>
  </si>
  <si>
    <t>FHL-369</t>
  </si>
  <si>
    <t>FHL-355</t>
  </si>
  <si>
    <t>Partner (Ranch) 97 → 01</t>
  </si>
  <si>
    <t>199 mm</t>
  </si>
  <si>
    <t>CF 5551</t>
  </si>
  <si>
    <t>CU 2225</t>
  </si>
  <si>
    <t>6447 Z5</t>
  </si>
  <si>
    <t>AKX-35115</t>
  </si>
  <si>
    <t>FHL-562</t>
  </si>
  <si>
    <t>FHL-563/2</t>
  </si>
  <si>
    <t>341 mm</t>
  </si>
  <si>
    <t>575 mm</t>
  </si>
  <si>
    <t>365 mm</t>
  </si>
  <si>
    <t>165 mm</t>
  </si>
  <si>
    <t>M. BENZ SPRINTER 516-416-314 CDI - 2.2 143CV 2020 →</t>
  </si>
  <si>
    <t>FHL-580</t>
  </si>
  <si>
    <t>175 mm</t>
  </si>
  <si>
    <t xml:space="preserve">F 150, RANGER, RAPTOR </t>
  </si>
  <si>
    <t>307/308/408/Partner (Ranch)/ RCZ  (153,156 )</t>
  </si>
  <si>
    <t>FHL-520</t>
  </si>
  <si>
    <t>VOLKSWAGEN GOLF VII, TIGUAN, AUDI Q2, A3, TAOS</t>
  </si>
  <si>
    <t>233 mm</t>
  </si>
  <si>
    <t>5Q0819644</t>
  </si>
  <si>
    <t>AKX-35281</t>
  </si>
  <si>
    <t>CU 26009</t>
  </si>
  <si>
    <t>KIA PICANTO</t>
  </si>
  <si>
    <t xml:space="preserve">HYUNDAI I10  </t>
  </si>
  <si>
    <t>FHL-870</t>
  </si>
  <si>
    <t>FHL-1204</t>
  </si>
  <si>
    <t>14 mm</t>
  </si>
  <si>
    <t>AKX-1988</t>
  </si>
  <si>
    <t>CU 1910</t>
  </si>
  <si>
    <t>FHL-850</t>
  </si>
  <si>
    <t>SANTA FE II 2,2 - 3,3 - 3,5</t>
  </si>
  <si>
    <t>262 mm</t>
  </si>
  <si>
    <t>971332B005</t>
  </si>
  <si>
    <t>AKX-2006</t>
  </si>
  <si>
    <t xml:space="preserve">FRONTIER 2,5 TAILANDESA 2,5 </t>
  </si>
  <si>
    <t>243 mm</t>
  </si>
  <si>
    <t>AKX-1957-2</t>
  </si>
  <si>
    <t>27274EB700</t>
  </si>
  <si>
    <t>FHL-271</t>
  </si>
  <si>
    <t>FORD TERRITORY 1.5 GTDI 143CV 2020 →</t>
  </si>
  <si>
    <t>206 mm</t>
  </si>
  <si>
    <t>AKX-35350</t>
  </si>
  <si>
    <t>EJS119G245BA</t>
  </si>
  <si>
    <t>CHERY TIGGO 5 - 2.0 138CV 2017 →</t>
  </si>
  <si>
    <t>AKX-1704</t>
  </si>
  <si>
    <t>T218107011</t>
  </si>
  <si>
    <t>186 mm</t>
  </si>
  <si>
    <t>245 mm</t>
  </si>
  <si>
    <t>FHL-1260</t>
  </si>
  <si>
    <t>FHL-212</t>
  </si>
  <si>
    <t>450 mm</t>
  </si>
  <si>
    <t>25 mm</t>
  </si>
  <si>
    <t>Iveco Euromover  Stralis II / Stralis XP
Stralis II X-Way
Stralis/EcoStralis/StralisHi-Road/Hi-Street/Hi-Way
Trakker</t>
  </si>
  <si>
    <t>AKX-4526</t>
  </si>
  <si>
    <t>CF 9788</t>
  </si>
  <si>
    <t>CU 4594</t>
  </si>
  <si>
    <t>Duster I / Logan / Oroch / Sandero / Captur /Megane III</t>
  </si>
  <si>
    <t>272773223R</t>
  </si>
  <si>
    <t>AKX-1397</t>
  </si>
  <si>
    <t>JX6Z19N619BA  JX6A18D483BA</t>
  </si>
  <si>
    <t>CF 10774</t>
  </si>
  <si>
    <t>AKX-35723</t>
  </si>
  <si>
    <t>13271191 / 52420930 / 1808246</t>
  </si>
  <si>
    <t>CU 25007</t>
  </si>
  <si>
    <t>AKX-3594F</t>
  </si>
  <si>
    <t>31369456 / AV6N19G244AA</t>
  </si>
  <si>
    <t>MINI</t>
  </si>
  <si>
    <t>FHL-3067</t>
  </si>
  <si>
    <t>Mini Cooper II,Cabrio,Coupé,Club/Country/Pacem./Road /One II, Cabrio, Clubman, Countryman</t>
  </si>
  <si>
    <t>449 mm</t>
  </si>
  <si>
    <t>120 mm</t>
  </si>
  <si>
    <t>AKX-1631/CF</t>
  </si>
  <si>
    <t>CU 4436</t>
  </si>
  <si>
    <t>CF 10831</t>
  </si>
  <si>
    <t>AKX-3566-2</t>
  </si>
  <si>
    <t>AKX 1375</t>
  </si>
  <si>
    <t>AKX-2108</t>
  </si>
  <si>
    <t>CF 11662</t>
  </si>
  <si>
    <t>52063810 / 68350346AB / 51979427</t>
  </si>
  <si>
    <t>CF 11726</t>
  </si>
  <si>
    <t>AKX-35323</t>
  </si>
  <si>
    <t>188 mm</t>
  </si>
  <si>
    <t>9018300518 / 9018300018</t>
  </si>
  <si>
    <t>AKX-3569/C</t>
  </si>
  <si>
    <t>CU 3858</t>
  </si>
  <si>
    <t>SUZUKI</t>
  </si>
  <si>
    <t>Grand Vittara</t>
  </si>
  <si>
    <t>9586165D00</t>
  </si>
  <si>
    <t>CU 22002-2</t>
  </si>
  <si>
    <t>AKX-1970-2</t>
  </si>
  <si>
    <t>CF 8726</t>
  </si>
  <si>
    <t>FHL-401</t>
  </si>
  <si>
    <t>Laguna I/Laguna II</t>
  </si>
  <si>
    <t>170 mm</t>
  </si>
  <si>
    <t>AKX-35147</t>
  </si>
  <si>
    <t>CF 5848</t>
  </si>
  <si>
    <t>CU 2525</t>
  </si>
  <si>
    <t>FHL-1003/2</t>
  </si>
  <si>
    <t>DODGE</t>
  </si>
  <si>
    <t>FHL-1103</t>
  </si>
  <si>
    <t>Dodge Journey/Jeep Compass,Patriot</t>
  </si>
  <si>
    <t>05058381AA</t>
  </si>
  <si>
    <t>CUK 2227</t>
  </si>
  <si>
    <t>Brava (182)/Bravo (182)/Marea (185) (209)</t>
  </si>
  <si>
    <t>caja</t>
  </si>
  <si>
    <t>MITSUBISHI</t>
  </si>
  <si>
    <t>FHL-1995</t>
  </si>
  <si>
    <t>215 mm</t>
  </si>
  <si>
    <t>Montero, Outlander, L200</t>
  </si>
  <si>
    <t>MR39288</t>
  </si>
  <si>
    <t>AKX-1995</t>
  </si>
  <si>
    <t>CU2231</t>
  </si>
  <si>
    <t>largo</t>
  </si>
  <si>
    <t>ancho</t>
  </si>
  <si>
    <t>gramos x hoja</t>
  </si>
  <si>
    <t>hojas x kilo</t>
  </si>
  <si>
    <t>costo x kilo</t>
  </si>
  <si>
    <t>1000 cm</t>
  </si>
  <si>
    <t>660 cm</t>
  </si>
  <si>
    <t>325g</t>
  </si>
  <si>
    <t>laterales x hoja</t>
  </si>
  <si>
    <t>costo x hoja</t>
  </si>
  <si>
    <t>costo x lateral</t>
  </si>
  <si>
    <t>cantidad x ancho</t>
  </si>
  <si>
    <t>cantidad x largo</t>
  </si>
  <si>
    <t>cantidad x sobrante</t>
  </si>
  <si>
    <t>mano de obra x corte</t>
  </si>
  <si>
    <t>257 mm</t>
  </si>
  <si>
    <t>FHL-651/2</t>
  </si>
  <si>
    <t>Mareno</t>
  </si>
  <si>
    <t>MH 103</t>
  </si>
  <si>
    <t>AKX-1430</t>
  </si>
  <si>
    <t>MH 152</t>
  </si>
  <si>
    <t>MH 154</t>
  </si>
  <si>
    <t>MH 354</t>
  </si>
  <si>
    <t>AKX-1444/2</t>
  </si>
  <si>
    <t>MH 360</t>
  </si>
  <si>
    <t>MH 201</t>
  </si>
  <si>
    <t>MH 203</t>
  </si>
  <si>
    <t>MH 205</t>
  </si>
  <si>
    <t>MH 206</t>
  </si>
  <si>
    <t>MH 209</t>
  </si>
  <si>
    <t>MH 213</t>
  </si>
  <si>
    <t>MH 214</t>
  </si>
  <si>
    <t>MH 215</t>
  </si>
  <si>
    <t>177 mm</t>
  </si>
  <si>
    <t>MH 216</t>
  </si>
  <si>
    <t>MH 218</t>
  </si>
  <si>
    <t>CF 10597</t>
  </si>
  <si>
    <t>AKX-1376</t>
  </si>
  <si>
    <t>AKX-35174</t>
  </si>
  <si>
    <t>MH 251</t>
  </si>
  <si>
    <t>MH 363</t>
  </si>
  <si>
    <t>AKX-35346</t>
  </si>
  <si>
    <t>MH 254</t>
  </si>
  <si>
    <t>CF 10059</t>
  </si>
  <si>
    <t>AKX-35175</t>
  </si>
  <si>
    <t>MH 256</t>
  </si>
  <si>
    <t>MH 257</t>
  </si>
  <si>
    <t>MH 260</t>
  </si>
  <si>
    <t>MH 261</t>
  </si>
  <si>
    <t>MH 262</t>
  </si>
  <si>
    <t>AKX-35347</t>
  </si>
  <si>
    <t>MH 258</t>
  </si>
  <si>
    <t>AKX-35177</t>
  </si>
  <si>
    <t>AKX-35178</t>
  </si>
  <si>
    <t>AKX-3536</t>
  </si>
  <si>
    <t>MH 301</t>
  </si>
  <si>
    <t>MH 302</t>
  </si>
  <si>
    <t>MH 303</t>
  </si>
  <si>
    <t>MH 306</t>
  </si>
  <si>
    <t>MH 308</t>
  </si>
  <si>
    <t>MH 310</t>
  </si>
  <si>
    <t>MH 313</t>
  </si>
  <si>
    <t>AKX-351</t>
  </si>
  <si>
    <t>MH 410</t>
  </si>
  <si>
    <t>MH 413</t>
  </si>
  <si>
    <t>AKX-35264</t>
  </si>
  <si>
    <t>AKX-35285</t>
  </si>
  <si>
    <t>AKX-35722</t>
  </si>
  <si>
    <t>AKX-3534</t>
  </si>
  <si>
    <t>CF 10546</t>
  </si>
  <si>
    <t>MH 312</t>
  </si>
  <si>
    <t>AKX-35157</t>
  </si>
  <si>
    <t>MH 355</t>
  </si>
  <si>
    <t>MH-152</t>
  </si>
  <si>
    <t>MH 361</t>
  </si>
  <si>
    <t>AKX-1411/C</t>
  </si>
  <si>
    <t>CU 3847</t>
  </si>
  <si>
    <t>CFA 10366</t>
  </si>
  <si>
    <t>MH 359</t>
  </si>
  <si>
    <t>AKX-1445-2</t>
  </si>
  <si>
    <t>CF 10536</t>
  </si>
  <si>
    <t>AKX-1442/2</t>
  </si>
  <si>
    <t>CU 24012-2</t>
  </si>
  <si>
    <t>MH 401</t>
  </si>
  <si>
    <t>MH 405</t>
  </si>
  <si>
    <t>MH 407</t>
  </si>
  <si>
    <t>MH 411</t>
  </si>
  <si>
    <t>MH 415</t>
  </si>
  <si>
    <t>MH 416</t>
  </si>
  <si>
    <t>AKX-35112</t>
  </si>
  <si>
    <t>MH 409</t>
  </si>
  <si>
    <t>MH 412</t>
  </si>
  <si>
    <t>AKX-1396</t>
  </si>
  <si>
    <t>CF 11586</t>
  </si>
  <si>
    <t>AKX-1201/2</t>
  </si>
  <si>
    <t>CF 10534</t>
  </si>
  <si>
    <t>MH  412</t>
  </si>
  <si>
    <t>AKX-1399</t>
  </si>
  <si>
    <t>CU 20030</t>
  </si>
  <si>
    <t>AKX-1215</t>
  </si>
  <si>
    <t>CF 12384</t>
  </si>
  <si>
    <t>AKX-1944</t>
  </si>
  <si>
    <t>MH 501</t>
  </si>
  <si>
    <t>MH 503</t>
  </si>
  <si>
    <t>MH 508</t>
  </si>
  <si>
    <t>MH 512</t>
  </si>
  <si>
    <t>AKX-35132</t>
  </si>
  <si>
    <t>AKX-35279</t>
  </si>
  <si>
    <t>MH 515</t>
  </si>
  <si>
    <t>MH 517</t>
  </si>
  <si>
    <t>MH 520</t>
  </si>
  <si>
    <t>AKX-35163</t>
  </si>
  <si>
    <t>AKX-1100</t>
  </si>
  <si>
    <t>AKX-1140</t>
  </si>
  <si>
    <t>CF 9881</t>
  </si>
  <si>
    <t>AKX-35280</t>
  </si>
  <si>
    <t>MH 518</t>
  </si>
  <si>
    <t>CF 11464</t>
  </si>
  <si>
    <t>CF 9070</t>
  </si>
  <si>
    <t>MH 553</t>
  </si>
  <si>
    <t>MH 560</t>
  </si>
  <si>
    <t>AKX-3565</t>
  </si>
  <si>
    <t>MH 557</t>
  </si>
  <si>
    <t>CF 10436</t>
  </si>
  <si>
    <t>AKX-35603</t>
  </si>
  <si>
    <t>CF 12171</t>
  </si>
  <si>
    <t>CU 30012</t>
  </si>
  <si>
    <t xml:space="preserve"> ---</t>
  </si>
  <si>
    <t>MH 559</t>
  </si>
  <si>
    <t>AKX-4005</t>
  </si>
  <si>
    <t>CU 5877</t>
  </si>
  <si>
    <t>PU 8118</t>
  </si>
  <si>
    <t>AKX-3560</t>
  </si>
  <si>
    <t>CU 34008</t>
  </si>
  <si>
    <t>MH 604</t>
  </si>
  <si>
    <t>CU 2358</t>
  </si>
  <si>
    <t>CF 10062</t>
  </si>
  <si>
    <t>CU 21003</t>
  </si>
  <si>
    <t>CF 10843</t>
  </si>
  <si>
    <t>MH 605</t>
  </si>
  <si>
    <t xml:space="preserve"> --</t>
  </si>
  <si>
    <t>MH 651</t>
  </si>
  <si>
    <t>AKX-1965</t>
  </si>
  <si>
    <t>MH 953</t>
  </si>
  <si>
    <t>MH 954</t>
  </si>
  <si>
    <t>AKX-2161</t>
  </si>
  <si>
    <t>CF 12018</t>
  </si>
  <si>
    <t>CU 13002/1</t>
  </si>
  <si>
    <t>MH 955</t>
  </si>
  <si>
    <t>AKX-1967</t>
  </si>
  <si>
    <t>CU 22032</t>
  </si>
  <si>
    <t>MH 854</t>
  </si>
  <si>
    <t>CU 21005/2</t>
  </si>
  <si>
    <t>AKX-2012-2</t>
  </si>
  <si>
    <t>CF 10627</t>
  </si>
  <si>
    <t>MH 1302</t>
  </si>
  <si>
    <t>CU 27007</t>
  </si>
  <si>
    <t>CF 10210</t>
  </si>
  <si>
    <t>MH 1301</t>
  </si>
  <si>
    <t>AKX-2102</t>
  </si>
  <si>
    <t>CF 11671</t>
  </si>
  <si>
    <t>MH 1201</t>
  </si>
  <si>
    <t>MH 1004</t>
  </si>
  <si>
    <t>MH 1002</t>
  </si>
  <si>
    <t>AKX-1700</t>
  </si>
  <si>
    <t>MH 502</t>
  </si>
  <si>
    <t>FHL-408</t>
  </si>
  <si>
    <t>FHL-409</t>
  </si>
  <si>
    <t>Megane II</t>
  </si>
  <si>
    <t>Megane II con tapa</t>
  </si>
  <si>
    <t>AKX-1394</t>
  </si>
  <si>
    <t>MH 408</t>
  </si>
  <si>
    <t>CU 23002</t>
  </si>
  <si>
    <t>CF 10883</t>
  </si>
  <si>
    <t>MH 414</t>
  </si>
  <si>
    <t>AKX-1393</t>
  </si>
  <si>
    <t>CF 9442</t>
  </si>
  <si>
    <t>CU 2316</t>
  </si>
  <si>
    <t>FHL-603</t>
  </si>
  <si>
    <t>MH 1101</t>
  </si>
  <si>
    <t>115 mm</t>
  </si>
  <si>
    <t>AKX-1911</t>
  </si>
  <si>
    <t>ccu 2329</t>
  </si>
  <si>
    <t>CF 10900</t>
  </si>
  <si>
    <t>FHL-1101</t>
  </si>
  <si>
    <t>PT Crusier/PT Crusier Cabrio</t>
  </si>
  <si>
    <t>Fit I/II Desde 2002 hasta 2008</t>
  </si>
  <si>
    <t>FHL-1105</t>
  </si>
  <si>
    <t>DODGE Nitro, JEEP Cherokee III</t>
  </si>
  <si>
    <t>91 mm</t>
  </si>
  <si>
    <t>68033193AA</t>
  </si>
  <si>
    <t>AKX-2104-2</t>
  </si>
  <si>
    <t>CU 1811</t>
  </si>
  <si>
    <t>178 mm</t>
  </si>
  <si>
    <t>costo mayorista 1</t>
  </si>
  <si>
    <t>costo mayorista 2</t>
  </si>
  <si>
    <t>costo mayorista 3</t>
  </si>
  <si>
    <t>FHL-956</t>
  </si>
  <si>
    <t>TOYOTA Yaris 1,5 107cv 2018 →</t>
  </si>
  <si>
    <t>FHL-311</t>
  </si>
  <si>
    <t>10 mm</t>
  </si>
  <si>
    <t>Spark 1,0 8v 65cv 2008 →</t>
  </si>
  <si>
    <t>MH 311</t>
  </si>
  <si>
    <t>AKX-3537</t>
  </si>
  <si>
    <t>CF 11414</t>
  </si>
  <si>
    <t>CU 2012</t>
  </si>
  <si>
    <t>FHL-252</t>
  </si>
  <si>
    <t>FHL-253</t>
  </si>
  <si>
    <t>FHL-358</t>
  </si>
  <si>
    <t>FHL-402</t>
  </si>
  <si>
    <t>FHL-952</t>
  </si>
  <si>
    <t>FHL-352</t>
  </si>
  <si>
    <t>FHL-362</t>
  </si>
  <si>
    <t xml:space="preserve">Boxer 2,2 HDI 130cv 2018 → Jumper III </t>
  </si>
  <si>
    <t>1615646880  1613733080</t>
  </si>
  <si>
    <t>MH 362</t>
  </si>
  <si>
    <t>AKX-3549F</t>
  </si>
  <si>
    <t>CF 10420</t>
  </si>
  <si>
    <t>CU 2544</t>
  </si>
  <si>
    <t>Focus I/ Focus II</t>
  </si>
  <si>
    <t>Mondeo II (BAP/BFP/BNP)/Mondeo III B4Y/5Y/BMY)</t>
  </si>
  <si>
    <t>342 mm</t>
  </si>
  <si>
    <t>XS4H16N619AB</t>
  </si>
  <si>
    <t>CF 8331</t>
  </si>
  <si>
    <t>CU 3567</t>
  </si>
  <si>
    <t>MH 252</t>
  </si>
  <si>
    <t>AKX-35128</t>
  </si>
  <si>
    <t>504 mm</t>
  </si>
  <si>
    <t>AKX35262</t>
  </si>
  <si>
    <t>MH 253</t>
  </si>
  <si>
    <t>CF 5664</t>
  </si>
  <si>
    <t>CUK 5257</t>
  </si>
  <si>
    <t>406/ 406 Coupe</t>
  </si>
  <si>
    <t>313 mm</t>
  </si>
  <si>
    <t>152 mm</t>
  </si>
  <si>
    <t>6447 TC</t>
  </si>
  <si>
    <t>6447 S5</t>
  </si>
  <si>
    <t>307 mm</t>
  </si>
  <si>
    <t>158 mm</t>
  </si>
  <si>
    <t>MH 352</t>
  </si>
  <si>
    <t>MH 353</t>
  </si>
  <si>
    <t>AKX-1114/C</t>
  </si>
  <si>
    <t>CF 5846</t>
  </si>
  <si>
    <t>CUK 3360</t>
  </si>
  <si>
    <t>MH 358</t>
  </si>
  <si>
    <t>AKX1448/C</t>
  </si>
  <si>
    <t>CFA 9920</t>
  </si>
  <si>
    <t>CUK 3240</t>
  </si>
  <si>
    <t>AKX-35151</t>
  </si>
  <si>
    <t>CF 5849</t>
  </si>
  <si>
    <t>CU 3032</t>
  </si>
  <si>
    <t>MH 402</t>
  </si>
  <si>
    <t>280 mm</t>
  </si>
  <si>
    <t>Megane RN / RT / Coupé - 1,6 8v 90cv 1997 → 2000</t>
  </si>
  <si>
    <t>MH 603</t>
  </si>
  <si>
    <t>80292SAAE01</t>
  </si>
  <si>
    <t>CF 10073</t>
  </si>
  <si>
    <t>AKX-1937</t>
  </si>
  <si>
    <t>CU 1835</t>
  </si>
  <si>
    <t>Prius/Prius +/Rav 4II</t>
  </si>
  <si>
    <t>MH 952</t>
  </si>
  <si>
    <t>AKX-1962</t>
  </si>
  <si>
    <t>CF 9466</t>
  </si>
  <si>
    <t>CU 1828</t>
  </si>
  <si>
    <t xml:space="preserve">195 mm </t>
  </si>
  <si>
    <t>FHL-364</t>
  </si>
  <si>
    <t>Nuevo 208 1,0 turbo T3 120cv 2024 →</t>
  </si>
  <si>
    <t>MH 364</t>
  </si>
  <si>
    <t>237 mm</t>
  </si>
  <si>
    <t>AKX-1459-2</t>
  </si>
  <si>
    <t>CU 24028/1</t>
  </si>
  <si>
    <t>Linde</t>
  </si>
  <si>
    <t>FHL-0009</t>
  </si>
  <si>
    <t>7700845811 7701205278 7700854811</t>
  </si>
  <si>
    <t>LINDE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</si>
</sst>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0"/>
      <color indexed="81"/>
      <name val="Tahom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8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3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/>
    </xf>
    <xf numFmtId="0" fontId="0" fillId="4" borderId="0" xfId="0" applyFill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 wrapText="1"/>
    </xf>
    <xf numFmtId="3" fontId="0" fillId="2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4" fontId="0" fillId="3" borderId="1" xfId="0" applyNumberForma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164" fontId="0" fillId="5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4" borderId="0" xfId="0" applyNumberFormat="1" applyFill="1"/>
    <xf numFmtId="3" fontId="0" fillId="2" borderId="1" xfId="0" applyNumberFormat="1" applyFill="1" applyBorder="1" applyAlignment="1">
      <alignment horizontal="center" wrapText="1"/>
    </xf>
  </cellXfs>
  <cellStyles count="2">
    <cellStyle name="Excel Built-in Normal" xfId="1" xr:uid="{80685465-C794-4824-B211-822B818D8AD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738A-8812-4F5F-96B4-93288E1D39BA}">
  <sheetPr>
    <pageSetUpPr fitToPage="1"/>
  </sheetPr>
  <dimension ref="A2:AO171"/>
  <sheetViews>
    <sheetView tabSelected="1" zoomScale="80" zoomScaleNormal="80" workbookViewId="0">
      <pane ySplit="4" topLeftCell="A158" activePane="bottomLeft" state="frozen"/>
      <selection activeCell="C1" sqref="C1"/>
      <selection pane="bottomLeft" activeCell="B164" sqref="B164"/>
    </sheetView>
  </sheetViews>
  <sheetFormatPr baseColWidth="10" defaultRowHeight="15" x14ac:dyDescent="0.25"/>
  <cols>
    <col min="2" max="2" width="11.28515625" customWidth="1"/>
    <col min="3" max="3" width="49.42578125" style="9" bestFit="1" customWidth="1"/>
    <col min="4" max="4" width="6.28515625" style="11" bestFit="1" customWidth="1"/>
    <col min="5" max="5" width="12" style="1" bestFit="1" customWidth="1"/>
    <col min="6" max="6" width="9.140625" style="1" bestFit="1" customWidth="1"/>
    <col min="7" max="7" width="7.42578125" style="1" bestFit="1" customWidth="1"/>
    <col min="8" max="8" width="22" style="11" bestFit="1" customWidth="1"/>
    <col min="9" max="9" width="9.28515625" style="11" bestFit="1" customWidth="1"/>
    <col min="10" max="10" width="12.7109375" style="45" bestFit="1" customWidth="1"/>
    <col min="11" max="11" width="11" style="1" bestFit="1" customWidth="1"/>
    <col min="12" max="12" width="12.42578125" style="1" bestFit="1" customWidth="1"/>
    <col min="13" max="13" width="12.42578125" style="1" customWidth="1"/>
    <col min="14" max="16" width="11.28515625" style="1" bestFit="1" customWidth="1"/>
    <col min="17" max="17" width="11.5703125" style="1" bestFit="1" customWidth="1"/>
    <col min="18" max="18" width="11.42578125" style="1" bestFit="1" customWidth="1"/>
    <col min="19" max="19" width="14.5703125" style="1" bestFit="1" customWidth="1"/>
    <col min="20" max="20" width="12.42578125" style="1" bestFit="1" customWidth="1"/>
    <col min="21" max="21" width="12.140625" style="1" bestFit="1" customWidth="1"/>
    <col min="22" max="22" width="7.5703125" style="1" bestFit="1" customWidth="1"/>
    <col min="23" max="23" width="5.140625" style="1" bestFit="1" customWidth="1"/>
    <col min="24" max="24" width="12.7109375" style="32" bestFit="1" customWidth="1"/>
    <col min="25" max="25" width="7.7109375" style="32" bestFit="1" customWidth="1"/>
    <col min="26" max="26" width="8.7109375" style="32" bestFit="1" customWidth="1"/>
    <col min="27" max="27" width="7.7109375" style="1" bestFit="1" customWidth="1"/>
    <col min="28" max="28" width="9.140625" style="32" bestFit="1" customWidth="1"/>
    <col min="29" max="29" width="7.7109375" style="32" bestFit="1" customWidth="1"/>
    <col min="30" max="30" width="8" style="32" bestFit="1" customWidth="1"/>
    <col min="31" max="31" width="7.7109375" style="32" bestFit="1" customWidth="1"/>
    <col min="32" max="32" width="7.5703125" style="1" bestFit="1" customWidth="1"/>
    <col min="33" max="33" width="9.85546875" style="32" bestFit="1" customWidth="1"/>
    <col min="34" max="37" width="11.42578125" style="38"/>
    <col min="38" max="38" width="10.85546875" style="1" bestFit="1" customWidth="1"/>
    <col min="39" max="39" width="10.85546875" style="1" customWidth="1"/>
    <col min="40" max="40" width="10" style="15" bestFit="1" customWidth="1"/>
    <col min="41" max="41" width="11.42578125" style="79"/>
  </cols>
  <sheetData>
    <row r="2" spans="2:40" x14ac:dyDescent="0.25">
      <c r="O2" s="1" t="s">
        <v>561</v>
      </c>
      <c r="Q2" s="1" t="s">
        <v>562</v>
      </c>
      <c r="R2" s="70"/>
      <c r="S2" s="70" t="s">
        <v>563</v>
      </c>
      <c r="T2" s="1" t="s">
        <v>564</v>
      </c>
      <c r="U2" s="1" t="s">
        <v>565</v>
      </c>
      <c r="X2" s="32">
        <v>14100</v>
      </c>
      <c r="Y2" s="32">
        <v>5860</v>
      </c>
      <c r="Z2" s="32">
        <v>75000</v>
      </c>
      <c r="AA2" s="1">
        <v>150</v>
      </c>
      <c r="AB2" s="32">
        <v>5800</v>
      </c>
      <c r="AD2" s="32">
        <v>1000</v>
      </c>
      <c r="AE2" s="32">
        <v>1800</v>
      </c>
      <c r="AF2" s="1" t="s">
        <v>177</v>
      </c>
    </row>
    <row r="3" spans="2:40" x14ac:dyDescent="0.25">
      <c r="O3" s="1" t="s">
        <v>566</v>
      </c>
      <c r="Q3" s="1" t="s">
        <v>567</v>
      </c>
      <c r="R3" s="70" t="s">
        <v>568</v>
      </c>
      <c r="S3" s="70">
        <v>236</v>
      </c>
      <c r="T3" s="1">
        <v>4.2</v>
      </c>
      <c r="U3" s="71">
        <v>2895</v>
      </c>
      <c r="X3" s="32">
        <f>X2/33</f>
        <v>427.27272727272725</v>
      </c>
      <c r="Y3" s="32">
        <f>Y2/140</f>
        <v>41.857142857142854</v>
      </c>
      <c r="Z3" s="32">
        <f>(Z2/500)/40</f>
        <v>3.75</v>
      </c>
      <c r="AB3" s="32">
        <f>AB2/3.5</f>
        <v>1657.1428571428571</v>
      </c>
      <c r="AD3" s="32" t="s">
        <v>177</v>
      </c>
      <c r="AE3" s="32">
        <f>AE2/45</f>
        <v>40</v>
      </c>
      <c r="AF3" s="1">
        <v>32</v>
      </c>
      <c r="AG3" s="32">
        <v>430</v>
      </c>
    </row>
    <row r="4" spans="2:40" ht="45" x14ac:dyDescent="0.25">
      <c r="B4" s="2" t="s">
        <v>0</v>
      </c>
      <c r="C4" s="4" t="s">
        <v>1</v>
      </c>
      <c r="D4" s="5" t="s">
        <v>278</v>
      </c>
      <c r="E4" s="3" t="s">
        <v>2</v>
      </c>
      <c r="F4" s="3" t="s">
        <v>3</v>
      </c>
      <c r="G4" s="3" t="s">
        <v>4</v>
      </c>
      <c r="H4" s="5" t="s">
        <v>5</v>
      </c>
      <c r="I4" s="13" t="s">
        <v>578</v>
      </c>
      <c r="J4" s="13" t="s">
        <v>270</v>
      </c>
      <c r="K4" s="3" t="s">
        <v>6</v>
      </c>
      <c r="L4" s="3" t="s">
        <v>7</v>
      </c>
      <c r="M4" s="3"/>
      <c r="N4" s="13" t="s">
        <v>572</v>
      </c>
      <c r="O4" s="13" t="s">
        <v>573</v>
      </c>
      <c r="P4" s="13" t="s">
        <v>574</v>
      </c>
      <c r="Q4" s="13" t="s">
        <v>569</v>
      </c>
      <c r="R4" s="72" t="s">
        <v>570</v>
      </c>
      <c r="S4" s="72" t="s">
        <v>571</v>
      </c>
      <c r="T4" s="13" t="s">
        <v>575</v>
      </c>
      <c r="U4" s="73">
        <f>U3/T3</f>
        <v>689.28571428571422</v>
      </c>
      <c r="V4" s="13" t="s">
        <v>186</v>
      </c>
      <c r="W4" s="13" t="s">
        <v>553</v>
      </c>
      <c r="X4" s="33" t="s">
        <v>187</v>
      </c>
      <c r="Y4" s="33" t="s">
        <v>188</v>
      </c>
      <c r="Z4" s="33" t="s">
        <v>189</v>
      </c>
      <c r="AA4" s="13" t="s">
        <v>230</v>
      </c>
      <c r="AB4" s="33" t="s">
        <v>247</v>
      </c>
      <c r="AC4" s="33" t="s">
        <v>273</v>
      </c>
      <c r="AD4" s="33" t="s">
        <v>272</v>
      </c>
      <c r="AE4" s="33" t="s">
        <v>231</v>
      </c>
      <c r="AF4" s="13" t="s">
        <v>232</v>
      </c>
      <c r="AG4" s="33" t="s">
        <v>206</v>
      </c>
      <c r="AH4" s="39" t="s">
        <v>190</v>
      </c>
      <c r="AI4" s="39" t="s">
        <v>376</v>
      </c>
      <c r="AJ4" s="39" t="s">
        <v>377</v>
      </c>
      <c r="AK4" s="39" t="s">
        <v>755</v>
      </c>
      <c r="AL4" s="13" t="s">
        <v>756</v>
      </c>
      <c r="AM4" s="13" t="s">
        <v>757</v>
      </c>
      <c r="AN4" s="16" t="s">
        <v>191</v>
      </c>
    </row>
    <row r="5" spans="2:40" x14ac:dyDescent="0.25">
      <c r="B5" s="17" t="s">
        <v>8</v>
      </c>
      <c r="C5" s="18"/>
      <c r="D5" s="20"/>
      <c r="E5" s="19"/>
      <c r="F5" s="19"/>
      <c r="G5" s="19"/>
      <c r="H5" s="20"/>
      <c r="I5" s="20"/>
      <c r="J5" s="21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1"/>
      <c r="W5" s="21"/>
      <c r="X5" s="34"/>
      <c r="Y5" s="34"/>
      <c r="Z5" s="34"/>
      <c r="AA5" s="19"/>
      <c r="AB5" s="34"/>
      <c r="AC5" s="34"/>
      <c r="AD5" s="34"/>
      <c r="AE5" s="34"/>
      <c r="AF5" s="19"/>
      <c r="AG5" s="34"/>
      <c r="AH5" s="40"/>
      <c r="AI5" s="40"/>
      <c r="AJ5" s="40"/>
      <c r="AK5" s="40"/>
      <c r="AL5" s="19"/>
      <c r="AM5" s="19"/>
      <c r="AN5" s="22"/>
    </row>
    <row r="6" spans="2:40" x14ac:dyDescent="0.25">
      <c r="B6" s="6" t="s">
        <v>305</v>
      </c>
      <c r="C6" s="8" t="s">
        <v>294</v>
      </c>
      <c r="D6" s="10"/>
      <c r="E6" s="7" t="s">
        <v>12</v>
      </c>
      <c r="F6" s="7" t="s">
        <v>13</v>
      </c>
      <c r="G6" s="7" t="s">
        <v>14</v>
      </c>
      <c r="H6" s="10">
        <v>587820100</v>
      </c>
      <c r="I6" s="46" t="s">
        <v>579</v>
      </c>
      <c r="J6" s="46" t="s">
        <v>282</v>
      </c>
      <c r="K6" s="7" t="s">
        <v>15</v>
      </c>
      <c r="L6" s="7" t="s">
        <v>16</v>
      </c>
      <c r="M6" s="7"/>
      <c r="N6" s="7">
        <v>21</v>
      </c>
      <c r="O6" s="7">
        <v>3</v>
      </c>
      <c r="P6" s="7">
        <v>4</v>
      </c>
      <c r="Q6" s="7">
        <f>(N6*O6)+P6</f>
        <v>67</v>
      </c>
      <c r="R6" s="74">
        <f>U4</f>
        <v>689.28571428571422</v>
      </c>
      <c r="S6" s="74">
        <f>R6/Q6</f>
        <v>10.287846481876331</v>
      </c>
      <c r="T6" s="7">
        <v>4</v>
      </c>
      <c r="U6" s="75">
        <f>T6+S6</f>
        <v>14.287846481876331</v>
      </c>
      <c r="V6" s="57">
        <v>1057</v>
      </c>
      <c r="W6" s="57"/>
      <c r="X6" s="36">
        <f>X3/5</f>
        <v>85.454545454545453</v>
      </c>
      <c r="Y6" s="36">
        <f>Y3</f>
        <v>41.857142857142854</v>
      </c>
      <c r="Z6" s="36">
        <f>Z3*1.5</f>
        <v>5.625</v>
      </c>
      <c r="AA6" s="7">
        <f>AA2</f>
        <v>150</v>
      </c>
      <c r="AB6" s="36">
        <f>U6*2.1</f>
        <v>30.004477611940295</v>
      </c>
      <c r="AC6" s="36"/>
      <c r="AD6" s="36"/>
      <c r="AE6" s="36">
        <f>AE3</f>
        <v>40</v>
      </c>
      <c r="AF6" s="36">
        <f>AF3</f>
        <v>32</v>
      </c>
      <c r="AG6" s="36">
        <f>AG3</f>
        <v>430</v>
      </c>
      <c r="AH6" s="41">
        <f>V6+X6+Y6+Z6+AA6+AB6+AC6+AD6+AE6+AF6+AG6</f>
        <v>1871.9411659236287</v>
      </c>
      <c r="AI6" s="41">
        <f>AH6/1.05</f>
        <v>1782.8011104034558</v>
      </c>
      <c r="AJ6" s="42">
        <f>AI6-Y3</f>
        <v>1740.9439675463129</v>
      </c>
      <c r="AK6" s="42">
        <f>AH6*1.05</f>
        <v>1965.5382242198102</v>
      </c>
      <c r="AL6" s="14">
        <f>AH6*1.1</f>
        <v>2059.1352825159915</v>
      </c>
      <c r="AM6" s="14">
        <f>AH6*1.15</f>
        <v>2152.7323408121729</v>
      </c>
      <c r="AN6" s="14">
        <f>AH6*1.25</f>
        <v>2339.926457404536</v>
      </c>
    </row>
    <row r="7" spans="2:40" x14ac:dyDescent="0.25">
      <c r="B7" s="2"/>
      <c r="C7" s="4"/>
      <c r="D7" s="5"/>
      <c r="E7" s="3"/>
      <c r="F7" s="3"/>
      <c r="G7" s="3"/>
      <c r="H7" s="5"/>
      <c r="I7" s="5"/>
      <c r="J7" s="1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5"/>
      <c r="Y7" s="35"/>
      <c r="Z7" s="35"/>
      <c r="AA7" s="3"/>
      <c r="AB7" s="35"/>
      <c r="AC7" s="35"/>
      <c r="AD7" s="35"/>
      <c r="AE7" s="35"/>
      <c r="AF7" s="3"/>
      <c r="AG7" s="35"/>
      <c r="AH7" s="42"/>
      <c r="AI7" s="42"/>
      <c r="AJ7" s="42"/>
      <c r="AK7" s="42"/>
      <c r="AL7" s="3"/>
      <c r="AM7" s="3"/>
      <c r="AN7" s="23"/>
    </row>
    <row r="8" spans="2:40" x14ac:dyDescent="0.25">
      <c r="B8" s="17" t="s">
        <v>19</v>
      </c>
      <c r="C8" s="18"/>
      <c r="D8" s="20"/>
      <c r="E8" s="19"/>
      <c r="F8" s="19"/>
      <c r="G8" s="19"/>
      <c r="H8" s="20"/>
      <c r="I8" s="20"/>
      <c r="J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34"/>
      <c r="Y8" s="34"/>
      <c r="Z8" s="34"/>
      <c r="AA8" s="19"/>
      <c r="AB8" s="34"/>
      <c r="AC8" s="34"/>
      <c r="AD8" s="34"/>
      <c r="AE8" s="34"/>
      <c r="AF8" s="19"/>
      <c r="AG8" s="34"/>
      <c r="AH8" s="40"/>
      <c r="AI8" s="40"/>
      <c r="AJ8" s="40"/>
      <c r="AK8" s="40"/>
      <c r="AL8" s="19"/>
      <c r="AM8" s="19"/>
      <c r="AN8" s="22"/>
    </row>
    <row r="9" spans="2:40" x14ac:dyDescent="0.25">
      <c r="B9" s="6" t="s">
        <v>304</v>
      </c>
      <c r="C9" s="8" t="s">
        <v>207</v>
      </c>
      <c r="D9" s="10"/>
      <c r="E9" s="7" t="s">
        <v>21</v>
      </c>
      <c r="F9" s="7" t="s">
        <v>22</v>
      </c>
      <c r="G9" s="7" t="s">
        <v>14</v>
      </c>
      <c r="H9" s="10" t="s">
        <v>283</v>
      </c>
      <c r="I9" s="46" t="s">
        <v>581</v>
      </c>
      <c r="J9" s="46" t="s">
        <v>580</v>
      </c>
      <c r="K9" s="7" t="s">
        <v>23</v>
      </c>
      <c r="L9" s="7" t="s">
        <v>24</v>
      </c>
      <c r="M9" s="7"/>
      <c r="N9" s="7">
        <v>21</v>
      </c>
      <c r="O9" s="7">
        <v>4</v>
      </c>
      <c r="P9" s="7">
        <v>7</v>
      </c>
      <c r="Q9" s="7">
        <f t="shared" ref="Q9:Q14" si="0">(N9*O9)+P9</f>
        <v>91</v>
      </c>
      <c r="R9" s="74">
        <f>U4</f>
        <v>689.28571428571422</v>
      </c>
      <c r="S9" s="74">
        <f t="shared" ref="S9:S14" si="1">R9/Q9</f>
        <v>7.5745682888540022</v>
      </c>
      <c r="T9" s="7">
        <v>4</v>
      </c>
      <c r="U9" s="75">
        <f t="shared" ref="U9:U14" si="2">T9+S9</f>
        <v>11.574568288854003</v>
      </c>
      <c r="V9" s="7">
        <v>980</v>
      </c>
      <c r="W9" s="7"/>
      <c r="X9" s="36">
        <f>X3/6</f>
        <v>71.212121212121204</v>
      </c>
      <c r="Y9" s="36">
        <f>Y3</f>
        <v>41.857142857142854</v>
      </c>
      <c r="Z9" s="36">
        <f>Z3*1.5</f>
        <v>5.625</v>
      </c>
      <c r="AA9" s="7">
        <f>AA2</f>
        <v>150</v>
      </c>
      <c r="AB9" s="36">
        <f>U9*2.1</f>
        <v>24.306593406593407</v>
      </c>
      <c r="AC9" s="36"/>
      <c r="AD9" s="36"/>
      <c r="AE9" s="36">
        <f>AE3</f>
        <v>40</v>
      </c>
      <c r="AF9" s="36">
        <f>AF3</f>
        <v>32</v>
      </c>
      <c r="AG9" s="36">
        <f>AG3</f>
        <v>430</v>
      </c>
      <c r="AH9" s="41">
        <f>V9+X9+Y9+Z9+AA9+AB9+AC9+AD9+AE9+AF9+AG9</f>
        <v>1775.0008574758576</v>
      </c>
      <c r="AI9" s="41">
        <f>AH9/1.05</f>
        <v>1690.4770071198643</v>
      </c>
      <c r="AJ9" s="42">
        <f>AI9-Y3</f>
        <v>1648.6198642627214</v>
      </c>
      <c r="AK9" s="42">
        <f>AH9*1.05</f>
        <v>1863.7509003496507</v>
      </c>
      <c r="AL9" s="14">
        <f>AH9*1.1</f>
        <v>1952.5009432234435</v>
      </c>
      <c r="AM9" s="14">
        <f>AH9*1.15</f>
        <v>2041.2509860972361</v>
      </c>
      <c r="AN9" s="14">
        <f>AH9*1.25</f>
        <v>2218.751071844822</v>
      </c>
    </row>
    <row r="10" spans="2:40" x14ac:dyDescent="0.25">
      <c r="B10" s="6" t="s">
        <v>302</v>
      </c>
      <c r="C10" s="8" t="s">
        <v>208</v>
      </c>
      <c r="D10" s="10"/>
      <c r="E10" s="7" t="s">
        <v>11</v>
      </c>
      <c r="F10" s="7" t="s">
        <v>25</v>
      </c>
      <c r="G10" s="7" t="s">
        <v>14</v>
      </c>
      <c r="H10" s="10" t="s">
        <v>26</v>
      </c>
      <c r="I10" s="46" t="s">
        <v>583</v>
      </c>
      <c r="J10" s="46" t="s">
        <v>284</v>
      </c>
      <c r="K10" s="7" t="s">
        <v>27</v>
      </c>
      <c r="L10" s="7" t="s">
        <v>28</v>
      </c>
      <c r="M10" s="7"/>
      <c r="N10" s="7">
        <v>21</v>
      </c>
      <c r="O10" s="7">
        <v>3</v>
      </c>
      <c r="P10" s="7">
        <v>4</v>
      </c>
      <c r="Q10" s="7">
        <f t="shared" si="0"/>
        <v>67</v>
      </c>
      <c r="R10" s="74">
        <f>U4</f>
        <v>689.28571428571422</v>
      </c>
      <c r="S10" s="74">
        <f t="shared" si="1"/>
        <v>10.287846481876331</v>
      </c>
      <c r="T10" s="7">
        <v>4</v>
      </c>
      <c r="U10" s="75">
        <f t="shared" si="2"/>
        <v>14.287846481876331</v>
      </c>
      <c r="V10" s="7">
        <v>1016</v>
      </c>
      <c r="W10" s="7"/>
      <c r="X10" s="36">
        <f>X3/6</f>
        <v>71.212121212121204</v>
      </c>
      <c r="Y10" s="36">
        <f>Y3</f>
        <v>41.857142857142854</v>
      </c>
      <c r="Z10" s="36">
        <f>Z3*1.5</f>
        <v>5.625</v>
      </c>
      <c r="AA10" s="7">
        <f>AA2</f>
        <v>150</v>
      </c>
      <c r="AB10" s="36">
        <f>U10*2.1</f>
        <v>30.004477611940295</v>
      </c>
      <c r="AC10" s="36"/>
      <c r="AD10" s="36"/>
      <c r="AE10" s="36">
        <f>AE3</f>
        <v>40</v>
      </c>
      <c r="AF10" s="36">
        <f>AF3</f>
        <v>32</v>
      </c>
      <c r="AG10" s="36">
        <f>AG3</f>
        <v>430</v>
      </c>
      <c r="AH10" s="41">
        <f>V10+X10+Y10+Z10+AA10+AB10+AC10+AD10+AE10+AF10+AG10</f>
        <v>1816.6987416812044</v>
      </c>
      <c r="AI10" s="41">
        <f>AH10/1.05</f>
        <v>1730.1892777916232</v>
      </c>
      <c r="AJ10" s="42">
        <f>AI10-Y3</f>
        <v>1688.3321349344803</v>
      </c>
      <c r="AK10" s="42">
        <f>AH10*1.05</f>
        <v>1907.5336787652648</v>
      </c>
      <c r="AL10" s="14">
        <f>AH10*1.1</f>
        <v>1998.3686158493251</v>
      </c>
      <c r="AM10" s="14">
        <f>AH10*1.15</f>
        <v>2089.2035529333848</v>
      </c>
      <c r="AN10" s="14">
        <f>AH10*1.25</f>
        <v>2270.8734271015055</v>
      </c>
    </row>
    <row r="11" spans="2:40" x14ac:dyDescent="0.25">
      <c r="B11" s="6" t="s">
        <v>303</v>
      </c>
      <c r="C11" s="8" t="s">
        <v>29</v>
      </c>
      <c r="D11" s="10">
        <v>64</v>
      </c>
      <c r="E11" s="7" t="s">
        <v>159</v>
      </c>
      <c r="F11" s="7" t="s">
        <v>31</v>
      </c>
      <c r="G11" s="7" t="s">
        <v>14</v>
      </c>
      <c r="H11" s="10" t="s">
        <v>32</v>
      </c>
      <c r="I11" s="46" t="s">
        <v>582</v>
      </c>
      <c r="J11" s="46" t="s">
        <v>285</v>
      </c>
      <c r="K11" s="7" t="s">
        <v>33</v>
      </c>
      <c r="L11" s="7" t="s">
        <v>34</v>
      </c>
      <c r="M11" s="7"/>
      <c r="N11" s="7">
        <v>21</v>
      </c>
      <c r="O11" s="7">
        <v>3</v>
      </c>
      <c r="P11" s="7">
        <v>4</v>
      </c>
      <c r="Q11" s="7">
        <f t="shared" si="0"/>
        <v>67</v>
      </c>
      <c r="R11" s="74">
        <f>U4</f>
        <v>689.28571428571422</v>
      </c>
      <c r="S11" s="74">
        <f t="shared" si="1"/>
        <v>10.287846481876331</v>
      </c>
      <c r="T11" s="7">
        <v>4</v>
      </c>
      <c r="U11" s="75">
        <f t="shared" si="2"/>
        <v>14.287846481876331</v>
      </c>
      <c r="V11" s="7">
        <v>1168</v>
      </c>
      <c r="W11" s="7"/>
      <c r="X11" s="36">
        <f>X3/6</f>
        <v>71.212121212121204</v>
      </c>
      <c r="Y11" s="36">
        <f>Y3</f>
        <v>41.857142857142854</v>
      </c>
      <c r="Z11" s="36">
        <f>Z3*1.5</f>
        <v>5.625</v>
      </c>
      <c r="AA11" s="7">
        <f>AA2</f>
        <v>150</v>
      </c>
      <c r="AB11" s="36">
        <f>U11*2.1</f>
        <v>30.004477611940295</v>
      </c>
      <c r="AC11" s="36"/>
      <c r="AD11" s="36"/>
      <c r="AE11" s="36">
        <f>AE3</f>
        <v>40</v>
      </c>
      <c r="AF11" s="36">
        <f>AF3</f>
        <v>32</v>
      </c>
      <c r="AG11" s="36">
        <f>AG3</f>
        <v>430</v>
      </c>
      <c r="AH11" s="41">
        <f>V11+X11+Y11+Z11+AA11+AB11+AC11+AD11+AE11+AF11+AG11</f>
        <v>1968.6987416812044</v>
      </c>
      <c r="AI11" s="41">
        <f>AH11/1.05</f>
        <v>1874.951182553528</v>
      </c>
      <c r="AJ11" s="42">
        <f>AI11-Y3</f>
        <v>1833.0940396963852</v>
      </c>
      <c r="AK11" s="42">
        <f>AH11*1.05</f>
        <v>2067.1336787652649</v>
      </c>
      <c r="AL11" s="14">
        <f>AH11*1.1</f>
        <v>2165.5686158493249</v>
      </c>
      <c r="AM11" s="14">
        <f>AH11*1.15</f>
        <v>2264.003552933385</v>
      </c>
      <c r="AN11" s="14">
        <f>AH11*1.25</f>
        <v>2460.8734271015055</v>
      </c>
    </row>
    <row r="12" spans="2:40" x14ac:dyDescent="0.25">
      <c r="B12" s="6" t="s">
        <v>306</v>
      </c>
      <c r="C12" s="8" t="s">
        <v>209</v>
      </c>
      <c r="D12" s="10"/>
      <c r="E12" s="7" t="s">
        <v>11</v>
      </c>
      <c r="F12" s="7" t="s">
        <v>25</v>
      </c>
      <c r="G12" s="7" t="s">
        <v>14</v>
      </c>
      <c r="H12" s="10" t="s">
        <v>26</v>
      </c>
      <c r="I12" s="46" t="s">
        <v>583</v>
      </c>
      <c r="J12" s="46" t="s">
        <v>284</v>
      </c>
      <c r="K12" s="7" t="s">
        <v>27</v>
      </c>
      <c r="L12" s="7" t="s">
        <v>28</v>
      </c>
      <c r="M12" s="7"/>
      <c r="N12" s="7">
        <v>21</v>
      </c>
      <c r="O12" s="7">
        <v>3</v>
      </c>
      <c r="P12" s="7">
        <v>4</v>
      </c>
      <c r="Q12" s="7">
        <f t="shared" si="0"/>
        <v>67</v>
      </c>
      <c r="R12" s="74">
        <f>U4</f>
        <v>689.28571428571422</v>
      </c>
      <c r="S12" s="74">
        <f t="shared" si="1"/>
        <v>10.287846481876331</v>
      </c>
      <c r="T12" s="7">
        <v>4</v>
      </c>
      <c r="U12" s="75">
        <f t="shared" si="2"/>
        <v>14.287846481876331</v>
      </c>
      <c r="V12" s="7">
        <v>1016</v>
      </c>
      <c r="W12" s="7"/>
      <c r="X12" s="36">
        <f>X3/6</f>
        <v>71.212121212121204</v>
      </c>
      <c r="Y12" s="36">
        <f>Y3</f>
        <v>41.857142857142854</v>
      </c>
      <c r="Z12" s="36">
        <f>Z3*1.5</f>
        <v>5.625</v>
      </c>
      <c r="AA12" s="7">
        <f>AA2</f>
        <v>150</v>
      </c>
      <c r="AB12" s="36">
        <f>U12*2.1</f>
        <v>30.004477611940295</v>
      </c>
      <c r="AC12" s="36"/>
      <c r="AD12" s="36"/>
      <c r="AE12" s="36">
        <f>AE3</f>
        <v>40</v>
      </c>
      <c r="AF12" s="36">
        <f>AF3</f>
        <v>32</v>
      </c>
      <c r="AG12" s="36">
        <f>AG3</f>
        <v>430</v>
      </c>
      <c r="AH12" s="41">
        <f>V12+X12+Y12+Z12+AA12+AB12+AC12+AD12+AE12+AF12+AG12</f>
        <v>1816.6987416812044</v>
      </c>
      <c r="AI12" s="41">
        <f>AH12/1.05</f>
        <v>1730.1892777916232</v>
      </c>
      <c r="AJ12" s="42">
        <f>AI12-Y3</f>
        <v>1688.3321349344803</v>
      </c>
      <c r="AK12" s="42">
        <f>AH12*1.05</f>
        <v>1907.5336787652648</v>
      </c>
      <c r="AL12" s="14">
        <f>AH12*1.1</f>
        <v>1998.3686158493251</v>
      </c>
      <c r="AM12" s="14">
        <f>AH12*1.15</f>
        <v>2089.2035529333848</v>
      </c>
      <c r="AN12" s="14">
        <f>AH12*1.25</f>
        <v>2270.8734271015055</v>
      </c>
    </row>
    <row r="13" spans="2:40" ht="30" x14ac:dyDescent="0.25">
      <c r="B13" s="6" t="s">
        <v>307</v>
      </c>
      <c r="C13" s="8" t="s">
        <v>214</v>
      </c>
      <c r="D13" s="10"/>
      <c r="E13" s="7" t="s">
        <v>36</v>
      </c>
      <c r="F13" s="7" t="s">
        <v>37</v>
      </c>
      <c r="G13" s="7" t="s">
        <v>14</v>
      </c>
      <c r="H13" s="10" t="s">
        <v>117</v>
      </c>
      <c r="I13" s="46" t="s">
        <v>585</v>
      </c>
      <c r="J13" s="46" t="s">
        <v>584</v>
      </c>
      <c r="K13" s="7" t="s">
        <v>286</v>
      </c>
      <c r="L13" s="7" t="s">
        <v>38</v>
      </c>
      <c r="M13" s="7"/>
      <c r="N13" s="7">
        <v>21</v>
      </c>
      <c r="O13" s="7">
        <v>5</v>
      </c>
      <c r="P13" s="7">
        <v>0</v>
      </c>
      <c r="Q13" s="7">
        <f t="shared" si="0"/>
        <v>105</v>
      </c>
      <c r="R13" s="74">
        <f>U4</f>
        <v>689.28571428571422</v>
      </c>
      <c r="S13" s="74">
        <f t="shared" si="1"/>
        <v>6.5646258503401356</v>
      </c>
      <c r="T13" s="7">
        <v>4</v>
      </c>
      <c r="U13" s="75">
        <f t="shared" si="2"/>
        <v>10.564625850340136</v>
      </c>
      <c r="V13" s="7">
        <v>1277</v>
      </c>
      <c r="W13" s="7"/>
      <c r="X13" s="36">
        <f>X3/2</f>
        <v>213.63636363636363</v>
      </c>
      <c r="Y13" s="36">
        <f>Y3</f>
        <v>41.857142857142854</v>
      </c>
      <c r="Z13" s="36">
        <f>Z3*1.5</f>
        <v>5.625</v>
      </c>
      <c r="AA13" s="7">
        <f>AA2*2</f>
        <v>300</v>
      </c>
      <c r="AB13" s="36">
        <f>(U13+U14)*2.1</f>
        <v>42.073809523809523</v>
      </c>
      <c r="AC13" s="36"/>
      <c r="AD13" s="36"/>
      <c r="AE13" s="36">
        <f>AE3</f>
        <v>40</v>
      </c>
      <c r="AF13" s="36">
        <f>AF3</f>
        <v>32</v>
      </c>
      <c r="AG13" s="36">
        <f>AG3</f>
        <v>430</v>
      </c>
      <c r="AH13" s="41">
        <f>V13+X13+Y13+Z13+AA13+AB13+AC13+AD13+AE13+AF13+AG13</f>
        <v>2382.192316017316</v>
      </c>
      <c r="AI13" s="41">
        <f>AH13/1.05</f>
        <v>2268.7545866831579</v>
      </c>
      <c r="AJ13" s="42">
        <f>AI13-Y3</f>
        <v>2226.8974438260152</v>
      </c>
      <c r="AK13" s="42">
        <f>AH13*1.05</f>
        <v>2501.3019318181819</v>
      </c>
      <c r="AL13" s="14">
        <f>AH13*1.1</f>
        <v>2620.4115476190477</v>
      </c>
      <c r="AM13" s="14">
        <f>AH13*1.15</f>
        <v>2739.5211634199131</v>
      </c>
      <c r="AN13" s="14">
        <f>AH13*1.25</f>
        <v>2977.7403950216449</v>
      </c>
    </row>
    <row r="14" spans="2:40" x14ac:dyDescent="0.25">
      <c r="B14" s="6"/>
      <c r="C14" s="8"/>
      <c r="D14" s="10"/>
      <c r="E14" s="7" t="s">
        <v>39</v>
      </c>
      <c r="F14" s="7" t="s">
        <v>37</v>
      </c>
      <c r="G14" s="7" t="s">
        <v>14</v>
      </c>
      <c r="H14" s="10"/>
      <c r="I14" s="46"/>
      <c r="J14" s="46"/>
      <c r="K14" s="7"/>
      <c r="L14" s="7"/>
      <c r="M14" s="7"/>
      <c r="N14" s="7">
        <v>21</v>
      </c>
      <c r="O14" s="7">
        <v>6</v>
      </c>
      <c r="P14" s="7">
        <v>0</v>
      </c>
      <c r="Q14" s="7">
        <f t="shared" si="0"/>
        <v>126</v>
      </c>
      <c r="R14" s="74">
        <f>U4</f>
        <v>689.28571428571422</v>
      </c>
      <c r="S14" s="74">
        <f t="shared" si="1"/>
        <v>5.470521541950113</v>
      </c>
      <c r="T14" s="7">
        <v>4</v>
      </c>
      <c r="U14" s="75">
        <f t="shared" si="2"/>
        <v>9.470521541950113</v>
      </c>
      <c r="V14" s="7" t="s">
        <v>177</v>
      </c>
      <c r="W14" s="7"/>
      <c r="X14" s="36"/>
      <c r="Y14" s="36"/>
      <c r="Z14" s="36"/>
      <c r="AA14" s="7"/>
      <c r="AB14" s="36"/>
      <c r="AC14" s="36"/>
      <c r="AD14" s="36"/>
      <c r="AE14" s="36"/>
      <c r="AF14" s="7"/>
      <c r="AG14" s="36"/>
      <c r="AH14" s="41" t="s">
        <v>177</v>
      </c>
      <c r="AI14" s="41"/>
      <c r="AJ14" s="42"/>
      <c r="AK14" s="42" t="s">
        <v>177</v>
      </c>
      <c r="AL14" s="12"/>
      <c r="AM14" s="12"/>
      <c r="AN14" s="14"/>
    </row>
    <row r="15" spans="2:40" x14ac:dyDescent="0.25">
      <c r="B15" s="2"/>
      <c r="C15" s="4"/>
      <c r="D15" s="5"/>
      <c r="E15" s="3"/>
      <c r="F15" s="3"/>
      <c r="G15" s="3"/>
      <c r="H15" s="5"/>
      <c r="I15" s="5"/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5"/>
      <c r="Y15" s="35"/>
      <c r="Z15" s="35"/>
      <c r="AA15" s="3"/>
      <c r="AB15" s="35"/>
      <c r="AC15" s="35"/>
      <c r="AD15" s="35"/>
      <c r="AE15" s="35"/>
      <c r="AF15" s="3"/>
      <c r="AG15" s="35"/>
      <c r="AH15" s="42"/>
      <c r="AI15" s="42"/>
      <c r="AJ15" s="42"/>
      <c r="AK15" s="42"/>
      <c r="AL15" s="3"/>
      <c r="AM15" s="3"/>
      <c r="AN15" s="23"/>
    </row>
    <row r="16" spans="2:40" x14ac:dyDescent="0.25">
      <c r="B16" s="17" t="s">
        <v>40</v>
      </c>
      <c r="C16" s="18"/>
      <c r="D16" s="20"/>
      <c r="E16" s="19"/>
      <c r="F16" s="19"/>
      <c r="G16" s="19"/>
      <c r="H16" s="20"/>
      <c r="I16" s="20"/>
      <c r="J16" s="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34"/>
      <c r="Y16" s="34"/>
      <c r="Z16" s="34"/>
      <c r="AA16" s="19"/>
      <c r="AB16" s="34"/>
      <c r="AC16" s="34"/>
      <c r="AD16" s="34"/>
      <c r="AE16" s="34"/>
      <c r="AF16" s="19"/>
      <c r="AG16" s="34"/>
      <c r="AH16" s="40"/>
      <c r="AI16" s="40"/>
      <c r="AJ16" s="40"/>
      <c r="AK16" s="40"/>
      <c r="AL16" s="19"/>
      <c r="AM16" s="19"/>
      <c r="AN16" s="22"/>
    </row>
    <row r="17" spans="1:41" x14ac:dyDescent="0.25">
      <c r="A17" t="s">
        <v>177</v>
      </c>
      <c r="B17" s="6" t="s">
        <v>392</v>
      </c>
      <c r="C17" s="8" t="s">
        <v>396</v>
      </c>
      <c r="D17" s="10"/>
      <c r="E17" s="7" t="s">
        <v>397</v>
      </c>
      <c r="F17" s="7" t="s">
        <v>398</v>
      </c>
      <c r="G17" s="7" t="s">
        <v>379</v>
      </c>
      <c r="H17" s="10">
        <v>7078711</v>
      </c>
      <c r="I17" s="46" t="s">
        <v>586</v>
      </c>
      <c r="J17" s="46" t="s">
        <v>393</v>
      </c>
      <c r="K17" s="7" t="s">
        <v>395</v>
      </c>
      <c r="L17" s="7" t="s">
        <v>394</v>
      </c>
      <c r="M17" s="7"/>
      <c r="N17" s="7">
        <v>38</v>
      </c>
      <c r="O17" s="7">
        <v>4</v>
      </c>
      <c r="P17" s="7">
        <v>0</v>
      </c>
      <c r="Q17" s="7">
        <f t="shared" ref="Q17:Q27" si="3">(N17*O17)+P17</f>
        <v>152</v>
      </c>
      <c r="R17" s="74">
        <f>U4</f>
        <v>689.28571428571422</v>
      </c>
      <c r="S17" s="74">
        <f t="shared" ref="S17:S27" si="4">R17/Q17</f>
        <v>4.5347744360902249</v>
      </c>
      <c r="T17" s="7">
        <v>4</v>
      </c>
      <c r="U17" s="75">
        <f t="shared" ref="U17:U27" si="5">T17+S17</f>
        <v>8.534774436090224</v>
      </c>
      <c r="V17" s="7">
        <v>944</v>
      </c>
      <c r="W17" s="7"/>
      <c r="X17" s="36">
        <f>X3/6</f>
        <v>71.212121212121204</v>
      </c>
      <c r="Y17" s="36">
        <f>Y3</f>
        <v>41.857142857142854</v>
      </c>
      <c r="Z17" s="36">
        <f>Z3*1.5</f>
        <v>5.625</v>
      </c>
      <c r="AA17" s="7">
        <f>AA2</f>
        <v>150</v>
      </c>
      <c r="AB17" s="36">
        <f>U17*2.1</f>
        <v>17.923026315789471</v>
      </c>
      <c r="AC17" s="36"/>
      <c r="AD17" s="36"/>
      <c r="AE17" s="36">
        <f>AE3</f>
        <v>40</v>
      </c>
      <c r="AF17" s="36">
        <f>AF3</f>
        <v>32</v>
      </c>
      <c r="AG17" s="36">
        <f>AG3*1.2</f>
        <v>516</v>
      </c>
      <c r="AH17" s="41">
        <f t="shared" ref="AH17:AH27" si="6">V17+X17+Y17+Z17+AA17+AB17+AC17+AD17+AE17+AF17+AG17</f>
        <v>1818.6172903850536</v>
      </c>
      <c r="AI17" s="41">
        <f t="shared" ref="AI17:AI27" si="7">AH17/1.05</f>
        <v>1732.0164670333843</v>
      </c>
      <c r="AJ17" s="42">
        <f>AI17-Y3</f>
        <v>1690.1593241762414</v>
      </c>
      <c r="AK17" s="42">
        <f t="shared" ref="AK17:AK27" si="8">AH17*1.05</f>
        <v>1909.5481549043063</v>
      </c>
      <c r="AL17" s="14">
        <f t="shared" ref="AL17:AL27" si="9">AH17*1.1</f>
        <v>2000.4790194235591</v>
      </c>
      <c r="AM17" s="14">
        <f t="shared" ref="AM17:AM27" si="10">AH17*1.15</f>
        <v>2091.4098839428116</v>
      </c>
      <c r="AN17" s="14">
        <f t="shared" ref="AN17:AN27" si="11">AH17*1.25</f>
        <v>2273.271612981317</v>
      </c>
    </row>
    <row r="18" spans="1:41" x14ac:dyDescent="0.25">
      <c r="B18" s="6" t="s">
        <v>308</v>
      </c>
      <c r="C18" s="8" t="s">
        <v>552</v>
      </c>
      <c r="D18" s="10"/>
      <c r="E18" s="7" t="s">
        <v>12</v>
      </c>
      <c r="F18" s="7" t="s">
        <v>13</v>
      </c>
      <c r="G18" s="7" t="s">
        <v>14</v>
      </c>
      <c r="H18" s="10">
        <v>46768502</v>
      </c>
      <c r="I18" s="46" t="s">
        <v>587</v>
      </c>
      <c r="J18" s="46" t="s">
        <v>282</v>
      </c>
      <c r="K18" s="7" t="s">
        <v>15</v>
      </c>
      <c r="L18" s="7" t="s">
        <v>16</v>
      </c>
      <c r="M18" s="7"/>
      <c r="N18" s="7">
        <v>21</v>
      </c>
      <c r="O18" s="7">
        <v>3</v>
      </c>
      <c r="P18" s="7">
        <v>2</v>
      </c>
      <c r="Q18" s="7">
        <f t="shared" si="3"/>
        <v>65</v>
      </c>
      <c r="R18" s="74">
        <f>U4</f>
        <v>689.28571428571422</v>
      </c>
      <c r="S18" s="74">
        <f t="shared" si="4"/>
        <v>10.604395604395604</v>
      </c>
      <c r="T18" s="7">
        <v>4</v>
      </c>
      <c r="U18" s="75">
        <f t="shared" si="5"/>
        <v>14.604395604395604</v>
      </c>
      <c r="V18" s="7">
        <v>1057</v>
      </c>
      <c r="W18" s="7"/>
      <c r="X18" s="36">
        <f>X3/5</f>
        <v>85.454545454545453</v>
      </c>
      <c r="Y18" s="36">
        <f>Y3</f>
        <v>41.857142857142854</v>
      </c>
      <c r="Z18" s="36">
        <f>Z3*1.5</f>
        <v>5.625</v>
      </c>
      <c r="AA18" s="7">
        <f>AA2</f>
        <v>150</v>
      </c>
      <c r="AB18" s="36">
        <f t="shared" ref="AB18:AB27" si="12">U18*2.1</f>
        <v>30.669230769230769</v>
      </c>
      <c r="AC18" s="36"/>
      <c r="AD18" s="36"/>
      <c r="AE18" s="36">
        <f>AE3</f>
        <v>40</v>
      </c>
      <c r="AF18" s="36">
        <f>AF3</f>
        <v>32</v>
      </c>
      <c r="AG18" s="36">
        <f>AG3</f>
        <v>430</v>
      </c>
      <c r="AH18" s="41">
        <f t="shared" si="6"/>
        <v>1872.6059190809192</v>
      </c>
      <c r="AI18" s="41">
        <f t="shared" si="7"/>
        <v>1783.4342086484944</v>
      </c>
      <c r="AJ18" s="42">
        <f>AI18-Y3</f>
        <v>1741.5770657913515</v>
      </c>
      <c r="AK18" s="42">
        <f t="shared" si="8"/>
        <v>1966.2362150349652</v>
      </c>
      <c r="AL18" s="14">
        <f t="shared" si="9"/>
        <v>2059.8665109890112</v>
      </c>
      <c r="AM18" s="14">
        <f t="shared" si="10"/>
        <v>2153.496806943057</v>
      </c>
      <c r="AN18" s="14">
        <f t="shared" si="11"/>
        <v>2340.757398851149</v>
      </c>
    </row>
    <row r="19" spans="1:41" x14ac:dyDescent="0.25">
      <c r="B19" s="6" t="s">
        <v>309</v>
      </c>
      <c r="C19" s="8" t="s">
        <v>41</v>
      </c>
      <c r="D19" s="10">
        <v>110</v>
      </c>
      <c r="E19" s="7" t="s">
        <v>42</v>
      </c>
      <c r="F19" s="7" t="s">
        <v>43</v>
      </c>
      <c r="G19" s="7" t="s">
        <v>10</v>
      </c>
      <c r="H19" s="10">
        <v>7082301</v>
      </c>
      <c r="I19" s="46" t="s">
        <v>588</v>
      </c>
      <c r="J19" s="46" t="s">
        <v>277</v>
      </c>
      <c r="K19" s="7" t="s">
        <v>44</v>
      </c>
      <c r="L19" s="7" t="s">
        <v>45</v>
      </c>
      <c r="M19" s="7"/>
      <c r="N19" s="7"/>
      <c r="O19" s="7"/>
      <c r="P19" s="7">
        <v>1000</v>
      </c>
      <c r="Q19" s="7">
        <f t="shared" si="3"/>
        <v>1000</v>
      </c>
      <c r="R19" s="74">
        <f>U4</f>
        <v>689.28571428571422</v>
      </c>
      <c r="S19" s="74">
        <f t="shared" si="4"/>
        <v>0.68928571428571417</v>
      </c>
      <c r="T19" s="7">
        <v>4</v>
      </c>
      <c r="U19" s="75">
        <f t="shared" si="5"/>
        <v>4.6892857142857141</v>
      </c>
      <c r="V19" s="7">
        <v>1047</v>
      </c>
      <c r="W19" s="7"/>
      <c r="X19" s="36">
        <f>X3/6</f>
        <v>71.212121212121204</v>
      </c>
      <c r="Y19" s="36">
        <f>Y3</f>
        <v>41.857142857142854</v>
      </c>
      <c r="Z19" s="36">
        <f>Z3*1.5</f>
        <v>5.625</v>
      </c>
      <c r="AA19" s="7">
        <f>AA2</f>
        <v>150</v>
      </c>
      <c r="AB19" s="36">
        <f t="shared" si="12"/>
        <v>9.8475000000000001</v>
      </c>
      <c r="AC19" s="36"/>
      <c r="AD19" s="36"/>
      <c r="AE19" s="36">
        <f>AE3</f>
        <v>40</v>
      </c>
      <c r="AF19" s="36">
        <f>AF3</f>
        <v>32</v>
      </c>
      <c r="AG19" s="36">
        <f>AG3</f>
        <v>430</v>
      </c>
      <c r="AH19" s="41">
        <f t="shared" si="6"/>
        <v>1827.5417640692642</v>
      </c>
      <c r="AI19" s="41">
        <f t="shared" si="7"/>
        <v>1740.5159657802515</v>
      </c>
      <c r="AJ19" s="42">
        <f>AI19-Y3</f>
        <v>1698.6588229231086</v>
      </c>
      <c r="AK19" s="42">
        <f t="shared" si="8"/>
        <v>1918.9188522727275</v>
      </c>
      <c r="AL19" s="14">
        <f t="shared" si="9"/>
        <v>2010.2959404761907</v>
      </c>
      <c r="AM19" s="14">
        <f t="shared" si="10"/>
        <v>2101.6730286796537</v>
      </c>
      <c r="AN19" s="14">
        <f t="shared" si="11"/>
        <v>2284.4272050865802</v>
      </c>
    </row>
    <row r="20" spans="1:41" ht="30" x14ac:dyDescent="0.25">
      <c r="A20" t="s">
        <v>177</v>
      </c>
      <c r="B20" s="6" t="s">
        <v>310</v>
      </c>
      <c r="C20" s="8" t="s">
        <v>288</v>
      </c>
      <c r="D20" s="10"/>
      <c r="E20" s="7" t="s">
        <v>293</v>
      </c>
      <c r="F20" s="7" t="s">
        <v>289</v>
      </c>
      <c r="G20" s="7" t="s">
        <v>10</v>
      </c>
      <c r="H20" s="10">
        <v>1312766080</v>
      </c>
      <c r="I20" s="46" t="s">
        <v>589</v>
      </c>
      <c r="J20" s="46" t="s">
        <v>292</v>
      </c>
      <c r="K20" s="7" t="s">
        <v>291</v>
      </c>
      <c r="L20" s="7" t="s">
        <v>290</v>
      </c>
      <c r="M20" s="7"/>
      <c r="N20" s="7">
        <v>31</v>
      </c>
      <c r="O20" s="7">
        <v>2</v>
      </c>
      <c r="P20" s="7">
        <v>0</v>
      </c>
      <c r="Q20" s="7">
        <f t="shared" si="3"/>
        <v>62</v>
      </c>
      <c r="R20" s="74">
        <f>U4</f>
        <v>689.28571428571422</v>
      </c>
      <c r="S20" s="74">
        <f t="shared" si="4"/>
        <v>11.117511520737326</v>
      </c>
      <c r="T20" s="7">
        <v>4</v>
      </c>
      <c r="U20" s="75">
        <f t="shared" si="5"/>
        <v>15.117511520737326</v>
      </c>
      <c r="V20" s="7">
        <v>1188</v>
      </c>
      <c r="W20" s="7"/>
      <c r="X20" s="36">
        <f>X3/3</f>
        <v>142.42424242424241</v>
      </c>
      <c r="Y20" s="36">
        <f>Y3</f>
        <v>41.857142857142854</v>
      </c>
      <c r="Z20" s="36">
        <f>Z3*1.5</f>
        <v>5.625</v>
      </c>
      <c r="AA20" s="7">
        <f>AA2</f>
        <v>150</v>
      </c>
      <c r="AB20" s="36">
        <f t="shared" si="12"/>
        <v>31.746774193548386</v>
      </c>
      <c r="AC20" s="36"/>
      <c r="AD20" s="36"/>
      <c r="AE20" s="36">
        <f>AE3</f>
        <v>40</v>
      </c>
      <c r="AF20" s="36">
        <f>AF3</f>
        <v>32</v>
      </c>
      <c r="AG20" s="36">
        <f>AG3</f>
        <v>430</v>
      </c>
      <c r="AH20" s="41">
        <f t="shared" si="6"/>
        <v>2061.653159474934</v>
      </c>
      <c r="AI20" s="41">
        <f t="shared" si="7"/>
        <v>1963.4791994999371</v>
      </c>
      <c r="AJ20" s="42">
        <f>AI20-Y3</f>
        <v>1921.6220566427942</v>
      </c>
      <c r="AK20" s="42">
        <f t="shared" si="8"/>
        <v>2164.7358174486808</v>
      </c>
      <c r="AL20" s="14">
        <f t="shared" si="9"/>
        <v>2267.8184754224276</v>
      </c>
      <c r="AM20" s="14">
        <f t="shared" si="10"/>
        <v>2370.9011333961739</v>
      </c>
      <c r="AN20" s="14">
        <f t="shared" si="11"/>
        <v>2577.0664493436675</v>
      </c>
    </row>
    <row r="21" spans="1:41" x14ac:dyDescent="0.25">
      <c r="B21" s="6" t="s">
        <v>311</v>
      </c>
      <c r="C21" s="8" t="s">
        <v>48</v>
      </c>
      <c r="D21" s="10"/>
      <c r="E21" s="7" t="s">
        <v>49</v>
      </c>
      <c r="F21" s="7" t="s">
        <v>13</v>
      </c>
      <c r="G21" s="7" t="s">
        <v>14</v>
      </c>
      <c r="H21" s="10"/>
      <c r="I21" s="46" t="s">
        <v>590</v>
      </c>
      <c r="J21" s="46" t="s">
        <v>282</v>
      </c>
      <c r="K21" s="7" t="s">
        <v>15</v>
      </c>
      <c r="L21" s="7" t="s">
        <v>50</v>
      </c>
      <c r="M21" s="7"/>
      <c r="N21" s="7">
        <v>21</v>
      </c>
      <c r="O21" s="7">
        <v>3</v>
      </c>
      <c r="P21" s="7">
        <v>2</v>
      </c>
      <c r="Q21" s="7">
        <f t="shared" si="3"/>
        <v>65</v>
      </c>
      <c r="R21" s="74">
        <f>U4</f>
        <v>689.28571428571422</v>
      </c>
      <c r="S21" s="74">
        <f t="shared" si="4"/>
        <v>10.604395604395604</v>
      </c>
      <c r="T21" s="7">
        <v>4</v>
      </c>
      <c r="U21" s="75">
        <f t="shared" si="5"/>
        <v>14.604395604395604</v>
      </c>
      <c r="V21" s="7">
        <v>1057</v>
      </c>
      <c r="W21" s="7"/>
      <c r="X21" s="36">
        <f>X3/5</f>
        <v>85.454545454545453</v>
      </c>
      <c r="Y21" s="36">
        <f>Y3</f>
        <v>41.857142857142854</v>
      </c>
      <c r="Z21" s="36">
        <f>Z3*1.5</f>
        <v>5.625</v>
      </c>
      <c r="AA21" s="7">
        <f>AA2</f>
        <v>150</v>
      </c>
      <c r="AB21" s="36">
        <f t="shared" si="12"/>
        <v>30.669230769230769</v>
      </c>
      <c r="AC21" s="36"/>
      <c r="AD21" s="36"/>
      <c r="AE21" s="36">
        <f>AE3</f>
        <v>40</v>
      </c>
      <c r="AF21" s="36">
        <f>AF3</f>
        <v>32</v>
      </c>
      <c r="AG21" s="36">
        <f>AG3</f>
        <v>430</v>
      </c>
      <c r="AH21" s="41">
        <f t="shared" si="6"/>
        <v>1872.6059190809192</v>
      </c>
      <c r="AI21" s="41">
        <f t="shared" si="7"/>
        <v>1783.4342086484944</v>
      </c>
      <c r="AJ21" s="42">
        <f>AI21-Y3</f>
        <v>1741.5770657913515</v>
      </c>
      <c r="AK21" s="42">
        <f t="shared" si="8"/>
        <v>1966.2362150349652</v>
      </c>
      <c r="AL21" s="14">
        <f t="shared" si="9"/>
        <v>2059.8665109890112</v>
      </c>
      <c r="AM21" s="14">
        <f t="shared" si="10"/>
        <v>2153.496806943057</v>
      </c>
      <c r="AN21" s="14">
        <f t="shared" si="11"/>
        <v>2340.757398851149</v>
      </c>
    </row>
    <row r="22" spans="1:41" ht="30" x14ac:dyDescent="0.25">
      <c r="B22" s="6" t="s">
        <v>312</v>
      </c>
      <c r="C22" s="8" t="s">
        <v>203</v>
      </c>
      <c r="D22" s="10"/>
      <c r="E22" s="7" t="s">
        <v>31</v>
      </c>
      <c r="F22" s="7" t="s">
        <v>594</v>
      </c>
      <c r="G22" s="7" t="s">
        <v>14</v>
      </c>
      <c r="H22" s="10">
        <v>77364561</v>
      </c>
      <c r="I22" s="46" t="s">
        <v>593</v>
      </c>
      <c r="J22" s="46" t="s">
        <v>524</v>
      </c>
      <c r="K22" s="7" t="s">
        <v>51</v>
      </c>
      <c r="L22" s="7" t="s">
        <v>52</v>
      </c>
      <c r="M22" s="7"/>
      <c r="N22" s="7">
        <v>21</v>
      </c>
      <c r="O22" s="7">
        <v>5</v>
      </c>
      <c r="P22" s="7">
        <v>0</v>
      </c>
      <c r="Q22" s="7">
        <f t="shared" si="3"/>
        <v>105</v>
      </c>
      <c r="R22" s="74">
        <f>U4</f>
        <v>689.28571428571422</v>
      </c>
      <c r="S22" s="74">
        <f t="shared" si="4"/>
        <v>6.5646258503401356</v>
      </c>
      <c r="T22" s="7">
        <v>4</v>
      </c>
      <c r="U22" s="75">
        <f t="shared" si="5"/>
        <v>10.564625850340136</v>
      </c>
      <c r="V22" s="7">
        <v>745</v>
      </c>
      <c r="W22" s="7"/>
      <c r="X22" s="36">
        <f>X3/6</f>
        <v>71.212121212121204</v>
      </c>
      <c r="Y22" s="36">
        <f>Y3</f>
        <v>41.857142857142854</v>
      </c>
      <c r="Z22" s="36">
        <f>Z3*1.5</f>
        <v>5.625</v>
      </c>
      <c r="AA22" s="7">
        <f>AA2</f>
        <v>150</v>
      </c>
      <c r="AB22" s="36">
        <f t="shared" si="12"/>
        <v>22.185714285714287</v>
      </c>
      <c r="AC22" s="36"/>
      <c r="AD22" s="36"/>
      <c r="AE22" s="36">
        <f>AE3</f>
        <v>40</v>
      </c>
      <c r="AF22" s="36">
        <f>AF3</f>
        <v>32</v>
      </c>
      <c r="AG22" s="36">
        <f>AG3</f>
        <v>430</v>
      </c>
      <c r="AH22" s="41">
        <f t="shared" si="6"/>
        <v>1537.8799783549784</v>
      </c>
      <c r="AI22" s="41">
        <f t="shared" si="7"/>
        <v>1464.6475984333129</v>
      </c>
      <c r="AJ22" s="42">
        <f>AI22-Y3</f>
        <v>1422.79045557617</v>
      </c>
      <c r="AK22" s="42">
        <f t="shared" si="8"/>
        <v>1614.7739772727275</v>
      </c>
      <c r="AL22" s="14">
        <f t="shared" si="9"/>
        <v>1691.6679761904763</v>
      </c>
      <c r="AM22" s="14">
        <f t="shared" si="10"/>
        <v>1768.5619751082252</v>
      </c>
      <c r="AN22" s="14">
        <f t="shared" si="11"/>
        <v>1922.3499729437231</v>
      </c>
    </row>
    <row r="23" spans="1:41" ht="60" x14ac:dyDescent="0.25">
      <c r="B23" s="6" t="s">
        <v>498</v>
      </c>
      <c r="C23" s="8" t="s">
        <v>501</v>
      </c>
      <c r="D23" s="10"/>
      <c r="E23" s="7" t="s">
        <v>499</v>
      </c>
      <c r="F23" s="7" t="s">
        <v>20</v>
      </c>
      <c r="G23" s="7" t="s">
        <v>500</v>
      </c>
      <c r="H23" s="10">
        <v>2995964</v>
      </c>
      <c r="I23" s="46" t="s">
        <v>596</v>
      </c>
      <c r="J23" s="46" t="s">
        <v>502</v>
      </c>
      <c r="K23" s="7" t="s">
        <v>503</v>
      </c>
      <c r="L23" s="7" t="s">
        <v>504</v>
      </c>
      <c r="M23" s="7"/>
      <c r="N23" s="7">
        <v>25</v>
      </c>
      <c r="O23" s="7">
        <v>2</v>
      </c>
      <c r="P23" s="7">
        <v>0</v>
      </c>
      <c r="Q23" s="7">
        <f t="shared" si="3"/>
        <v>50</v>
      </c>
      <c r="R23" s="74">
        <f>U4</f>
        <v>689.28571428571422</v>
      </c>
      <c r="S23" s="74">
        <f t="shared" si="4"/>
        <v>13.785714285714285</v>
      </c>
      <c r="T23" s="7">
        <v>4</v>
      </c>
      <c r="U23" s="75">
        <f t="shared" si="5"/>
        <v>17.785714285714285</v>
      </c>
      <c r="V23" s="7">
        <v>2887</v>
      </c>
      <c r="W23" s="7"/>
      <c r="X23" s="36">
        <f>X3/4</f>
        <v>106.81818181818181</v>
      </c>
      <c r="Y23" s="36">
        <f>Y3</f>
        <v>41.857142857142854</v>
      </c>
      <c r="Z23" s="36">
        <f>Z3*1.5</f>
        <v>5.625</v>
      </c>
      <c r="AA23" s="7">
        <f>AA2</f>
        <v>150</v>
      </c>
      <c r="AB23" s="36">
        <f t="shared" si="12"/>
        <v>37.35</v>
      </c>
      <c r="AC23" s="36"/>
      <c r="AD23" s="36"/>
      <c r="AE23" s="36">
        <f>AE3</f>
        <v>40</v>
      </c>
      <c r="AF23" s="36">
        <f>AF3</f>
        <v>32</v>
      </c>
      <c r="AG23" s="36">
        <f>AG3*1.5</f>
        <v>645</v>
      </c>
      <c r="AH23" s="41">
        <f t="shared" si="6"/>
        <v>3945.6503246753246</v>
      </c>
      <c r="AI23" s="41">
        <f t="shared" si="7"/>
        <v>3757.7622139764994</v>
      </c>
      <c r="AJ23" s="42">
        <f>AI23-Y3</f>
        <v>3715.9050711193568</v>
      </c>
      <c r="AK23" s="42">
        <f t="shared" si="8"/>
        <v>4142.9328409090913</v>
      </c>
      <c r="AL23" s="14">
        <f t="shared" si="9"/>
        <v>4340.2153571428571</v>
      </c>
      <c r="AM23" s="14">
        <f t="shared" si="10"/>
        <v>4537.4978733766229</v>
      </c>
      <c r="AN23" s="14">
        <f t="shared" si="11"/>
        <v>4932.0629058441555</v>
      </c>
      <c r="AO23" s="79" t="s">
        <v>177</v>
      </c>
    </row>
    <row r="24" spans="1:41" x14ac:dyDescent="0.25">
      <c r="B24" s="6" t="s">
        <v>313</v>
      </c>
      <c r="C24" s="48" t="s">
        <v>235</v>
      </c>
      <c r="D24" s="58">
        <v>60</v>
      </c>
      <c r="E24" s="7" t="s">
        <v>237</v>
      </c>
      <c r="F24" s="7" t="s">
        <v>236</v>
      </c>
      <c r="G24" s="7" t="s">
        <v>14</v>
      </c>
      <c r="H24" s="10">
        <v>3802821</v>
      </c>
      <c r="I24" s="46" t="s">
        <v>591</v>
      </c>
      <c r="J24" s="46" t="s">
        <v>598</v>
      </c>
      <c r="K24" s="7" t="s">
        <v>597</v>
      </c>
      <c r="L24" s="49" t="s">
        <v>238</v>
      </c>
      <c r="M24" s="49"/>
      <c r="N24" s="7">
        <v>21</v>
      </c>
      <c r="O24" s="7">
        <v>3</v>
      </c>
      <c r="P24" s="7">
        <v>2</v>
      </c>
      <c r="Q24" s="7">
        <f t="shared" si="3"/>
        <v>65</v>
      </c>
      <c r="R24" s="74">
        <f>U4</f>
        <v>689.28571428571422</v>
      </c>
      <c r="S24" s="74">
        <f t="shared" si="4"/>
        <v>10.604395604395604</v>
      </c>
      <c r="T24" s="7">
        <v>4</v>
      </c>
      <c r="U24" s="75">
        <f t="shared" si="5"/>
        <v>14.604395604395604</v>
      </c>
      <c r="V24" s="7">
        <v>1333</v>
      </c>
      <c r="W24" s="7"/>
      <c r="X24" s="36">
        <f>X3/6</f>
        <v>71.212121212121204</v>
      </c>
      <c r="Y24" s="36">
        <f>Y3</f>
        <v>41.857142857142854</v>
      </c>
      <c r="Z24" s="36">
        <f>Z3*1.5</f>
        <v>5.625</v>
      </c>
      <c r="AA24" s="7">
        <f>AA2</f>
        <v>150</v>
      </c>
      <c r="AB24" s="36">
        <f t="shared" si="12"/>
        <v>30.669230769230769</v>
      </c>
      <c r="AC24" s="36"/>
      <c r="AD24" s="36"/>
      <c r="AE24" s="36">
        <f>AE3</f>
        <v>40</v>
      </c>
      <c r="AF24" s="36">
        <f>AF3</f>
        <v>32</v>
      </c>
      <c r="AG24" s="36">
        <f>AG3</f>
        <v>430</v>
      </c>
      <c r="AH24" s="41">
        <f t="shared" si="6"/>
        <v>2134.3634948384952</v>
      </c>
      <c r="AI24" s="41">
        <f t="shared" si="7"/>
        <v>2032.727137941424</v>
      </c>
      <c r="AJ24" s="42">
        <f>AI24-Y3</f>
        <v>1990.8699950842811</v>
      </c>
      <c r="AK24" s="42">
        <f t="shared" si="8"/>
        <v>2241.0816695804201</v>
      </c>
      <c r="AL24" s="14">
        <f t="shared" si="9"/>
        <v>2347.7998443223451</v>
      </c>
      <c r="AM24" s="14">
        <f t="shared" si="10"/>
        <v>2454.5180190642691</v>
      </c>
      <c r="AN24" s="14">
        <f t="shared" si="11"/>
        <v>2667.954368548119</v>
      </c>
    </row>
    <row r="25" spans="1:41" ht="30" x14ac:dyDescent="0.25">
      <c r="B25" s="6" t="s">
        <v>314</v>
      </c>
      <c r="C25" s="8" t="s">
        <v>197</v>
      </c>
      <c r="D25" s="10">
        <v>96</v>
      </c>
      <c r="E25" s="7" t="s">
        <v>122</v>
      </c>
      <c r="F25" s="7" t="s">
        <v>55</v>
      </c>
      <c r="G25" s="7" t="s">
        <v>14</v>
      </c>
      <c r="H25" s="10">
        <v>51836363</v>
      </c>
      <c r="I25" s="46" t="s">
        <v>592</v>
      </c>
      <c r="J25" s="46" t="s">
        <v>529</v>
      </c>
      <c r="K25" s="7" t="s">
        <v>528</v>
      </c>
      <c r="L25" s="7" t="s">
        <v>196</v>
      </c>
      <c r="M25" s="7"/>
      <c r="N25" s="7">
        <v>21</v>
      </c>
      <c r="O25" s="7">
        <v>5</v>
      </c>
      <c r="P25" s="7">
        <v>0</v>
      </c>
      <c r="Q25" s="7">
        <f t="shared" si="3"/>
        <v>105</v>
      </c>
      <c r="R25" s="74">
        <f>U4</f>
        <v>689.28571428571422</v>
      </c>
      <c r="S25" s="74">
        <f t="shared" si="4"/>
        <v>6.5646258503401356</v>
      </c>
      <c r="T25" s="7">
        <v>4</v>
      </c>
      <c r="U25" s="75">
        <f t="shared" si="5"/>
        <v>10.564625850340136</v>
      </c>
      <c r="V25" s="7">
        <v>891</v>
      </c>
      <c r="W25" s="7"/>
      <c r="X25" s="36">
        <f>X3/6</f>
        <v>71.212121212121204</v>
      </c>
      <c r="Y25" s="36">
        <f>Y3</f>
        <v>41.857142857142854</v>
      </c>
      <c r="Z25" s="36">
        <f>Z3*1.5</f>
        <v>5.625</v>
      </c>
      <c r="AA25" s="7">
        <f>AA2</f>
        <v>150</v>
      </c>
      <c r="AB25" s="36">
        <f t="shared" si="12"/>
        <v>22.185714285714287</v>
      </c>
      <c r="AC25" s="36"/>
      <c r="AD25" s="36"/>
      <c r="AE25" s="36">
        <f>AE3</f>
        <v>40</v>
      </c>
      <c r="AF25" s="36">
        <f>AF3</f>
        <v>32</v>
      </c>
      <c r="AG25" s="36">
        <f>AG3</f>
        <v>430</v>
      </c>
      <c r="AH25" s="41">
        <f t="shared" si="6"/>
        <v>1683.8799783549784</v>
      </c>
      <c r="AI25" s="41">
        <f t="shared" si="7"/>
        <v>1603.6952174809319</v>
      </c>
      <c r="AJ25" s="42">
        <f>AI25-Y3</f>
        <v>1561.838074623789</v>
      </c>
      <c r="AK25" s="42">
        <f t="shared" si="8"/>
        <v>1768.0739772727275</v>
      </c>
      <c r="AL25" s="14">
        <f t="shared" si="9"/>
        <v>1852.2679761904765</v>
      </c>
      <c r="AM25" s="14">
        <f t="shared" si="10"/>
        <v>1936.461975108225</v>
      </c>
      <c r="AN25" s="14">
        <f t="shared" si="11"/>
        <v>2104.8499729437231</v>
      </c>
    </row>
    <row r="26" spans="1:41" ht="45.75" customHeight="1" x14ac:dyDescent="0.25">
      <c r="B26" s="6" t="s">
        <v>315</v>
      </c>
      <c r="C26" s="8" t="s">
        <v>201</v>
      </c>
      <c r="D26" s="10"/>
      <c r="E26" s="7" t="s">
        <v>18</v>
      </c>
      <c r="F26" s="7" t="s">
        <v>111</v>
      </c>
      <c r="G26" s="7" t="s">
        <v>14</v>
      </c>
      <c r="H26" s="10" t="s">
        <v>527</v>
      </c>
      <c r="I26" s="46" t="s">
        <v>595</v>
      </c>
      <c r="J26" s="46" t="s">
        <v>525</v>
      </c>
      <c r="K26" s="7" t="s">
        <v>526</v>
      </c>
      <c r="L26" s="7" t="s">
        <v>202</v>
      </c>
      <c r="M26" s="7"/>
      <c r="N26" s="7">
        <v>21</v>
      </c>
      <c r="O26" s="7">
        <v>4</v>
      </c>
      <c r="P26" s="7">
        <v>2</v>
      </c>
      <c r="Q26" s="7">
        <f t="shared" si="3"/>
        <v>86</v>
      </c>
      <c r="R26" s="74">
        <f>U4</f>
        <v>689.28571428571422</v>
      </c>
      <c r="S26" s="74">
        <f t="shared" si="4"/>
        <v>8.0149501661129552</v>
      </c>
      <c r="T26" s="7">
        <v>4</v>
      </c>
      <c r="U26" s="75">
        <f t="shared" si="5"/>
        <v>12.014950166112955</v>
      </c>
      <c r="V26" s="7">
        <v>808</v>
      </c>
      <c r="W26" s="7"/>
      <c r="X26" s="36">
        <f>X3/6</f>
        <v>71.212121212121204</v>
      </c>
      <c r="Y26" s="36">
        <f>Y3</f>
        <v>41.857142857142854</v>
      </c>
      <c r="Z26" s="36">
        <f>Z3*1.5</f>
        <v>5.625</v>
      </c>
      <c r="AA26" s="7">
        <f>AA2</f>
        <v>150</v>
      </c>
      <c r="AB26" s="36">
        <f t="shared" si="12"/>
        <v>25.231395348837207</v>
      </c>
      <c r="AC26" s="36"/>
      <c r="AD26" s="36"/>
      <c r="AE26" s="36">
        <f>AE3</f>
        <v>40</v>
      </c>
      <c r="AF26" s="36">
        <f>AF3</f>
        <v>32</v>
      </c>
      <c r="AG26" s="36">
        <f>AG3</f>
        <v>430</v>
      </c>
      <c r="AH26" s="41">
        <f t="shared" si="6"/>
        <v>1603.9256594181013</v>
      </c>
      <c r="AI26" s="41">
        <f t="shared" si="7"/>
        <v>1527.5482470648583</v>
      </c>
      <c r="AJ26" s="42">
        <f>AI26-Y3</f>
        <v>1485.6911042077154</v>
      </c>
      <c r="AK26" s="42">
        <f t="shared" si="8"/>
        <v>1684.1219423890063</v>
      </c>
      <c r="AL26" s="14">
        <f t="shared" si="9"/>
        <v>1764.3182253599116</v>
      </c>
      <c r="AM26" s="14">
        <f t="shared" si="10"/>
        <v>1844.5145083308164</v>
      </c>
      <c r="AN26" s="14">
        <f t="shared" si="11"/>
        <v>2004.9070742726267</v>
      </c>
    </row>
    <row r="27" spans="1:41" x14ac:dyDescent="0.25">
      <c r="A27" t="s">
        <v>177</v>
      </c>
      <c r="B27" s="6" t="s">
        <v>399</v>
      </c>
      <c r="C27" s="8" t="s">
        <v>400</v>
      </c>
      <c r="D27" s="10">
        <v>100</v>
      </c>
      <c r="E27" s="7" t="s">
        <v>401</v>
      </c>
      <c r="F27" s="7" t="s">
        <v>18</v>
      </c>
      <c r="G27" s="7" t="s">
        <v>402</v>
      </c>
      <c r="H27" s="10" t="s">
        <v>403</v>
      </c>
      <c r="I27" s="46"/>
      <c r="J27" s="46" t="s">
        <v>404</v>
      </c>
      <c r="K27" s="7"/>
      <c r="L27" s="7"/>
      <c r="M27" s="7"/>
      <c r="N27" s="7">
        <v>44</v>
      </c>
      <c r="O27" s="7">
        <v>1</v>
      </c>
      <c r="P27" s="7"/>
      <c r="Q27" s="7">
        <f t="shared" si="3"/>
        <v>44</v>
      </c>
      <c r="R27" s="74">
        <f>U4</f>
        <v>689.28571428571422</v>
      </c>
      <c r="S27" s="74">
        <f t="shared" si="4"/>
        <v>15.665584415584414</v>
      </c>
      <c r="T27" s="7">
        <v>16</v>
      </c>
      <c r="U27" s="75">
        <f t="shared" si="5"/>
        <v>31.665584415584412</v>
      </c>
      <c r="V27" s="7">
        <v>1387</v>
      </c>
      <c r="W27" s="7"/>
      <c r="X27" s="36">
        <f>X3/4</f>
        <v>106.81818181818181</v>
      </c>
      <c r="Y27" s="36">
        <f>Y3</f>
        <v>41.857142857142854</v>
      </c>
      <c r="Z27" s="36">
        <f>Z3*1.5</f>
        <v>5.625</v>
      </c>
      <c r="AA27" s="7">
        <f>AA2*9</f>
        <v>1350</v>
      </c>
      <c r="AB27" s="36">
        <f t="shared" si="12"/>
        <v>66.497727272727275</v>
      </c>
      <c r="AC27" s="36"/>
      <c r="AD27" s="36"/>
      <c r="AE27" s="36">
        <f>AE3</f>
        <v>40</v>
      </c>
      <c r="AF27" s="36">
        <f>AF3</f>
        <v>32</v>
      </c>
      <c r="AG27" s="36">
        <f>AG3*2.5</f>
        <v>1075</v>
      </c>
      <c r="AH27" s="41">
        <f t="shared" si="6"/>
        <v>4104.7980519480516</v>
      </c>
      <c r="AI27" s="41">
        <f t="shared" si="7"/>
        <v>3909.3314780457631</v>
      </c>
      <c r="AJ27" s="42">
        <f>AI27-Y3</f>
        <v>3867.4743351886204</v>
      </c>
      <c r="AK27" s="42">
        <f t="shared" si="8"/>
        <v>4310.0379545454543</v>
      </c>
      <c r="AL27" s="14">
        <f t="shared" si="9"/>
        <v>4515.2778571428571</v>
      </c>
      <c r="AM27" s="14">
        <f t="shared" si="10"/>
        <v>4720.517759740259</v>
      </c>
      <c r="AN27" s="14">
        <f t="shared" si="11"/>
        <v>5130.9975649350645</v>
      </c>
    </row>
    <row r="28" spans="1:41" x14ac:dyDescent="0.25">
      <c r="B28" s="2"/>
      <c r="C28" s="4" t="s">
        <v>177</v>
      </c>
      <c r="D28" s="5"/>
      <c r="E28" s="3" t="s">
        <v>177</v>
      </c>
      <c r="F28" s="3" t="s">
        <v>177</v>
      </c>
      <c r="G28" s="3" t="s">
        <v>177</v>
      </c>
      <c r="H28" s="5" t="s">
        <v>177</v>
      </c>
      <c r="I28" s="5"/>
      <c r="J28" s="13"/>
      <c r="K28" s="3" t="s">
        <v>177</v>
      </c>
      <c r="L28" s="3" t="s">
        <v>177</v>
      </c>
      <c r="M28" s="3"/>
      <c r="N28" s="3"/>
      <c r="O28" s="3"/>
      <c r="P28" s="3"/>
      <c r="Q28" s="3"/>
      <c r="R28" s="73"/>
      <c r="S28" s="73"/>
      <c r="T28" s="3"/>
      <c r="U28" s="76"/>
      <c r="V28" s="3"/>
      <c r="W28" s="3"/>
      <c r="X28" s="35"/>
      <c r="Y28" s="35"/>
      <c r="Z28" s="35"/>
      <c r="AA28" s="3"/>
      <c r="AB28" s="35"/>
      <c r="AC28" s="35"/>
      <c r="AD28" s="35"/>
      <c r="AE28" s="35" t="s">
        <v>177</v>
      </c>
      <c r="AF28" s="3"/>
      <c r="AG28" s="35"/>
      <c r="AH28" s="42" t="s">
        <v>177</v>
      </c>
      <c r="AI28" s="42"/>
      <c r="AJ28" s="42"/>
      <c r="AK28" s="42"/>
      <c r="AL28" s="3"/>
      <c r="AM28" s="3"/>
      <c r="AN28" s="23"/>
    </row>
    <row r="29" spans="1:41" x14ac:dyDescent="0.25">
      <c r="B29" s="17" t="s">
        <v>56</v>
      </c>
      <c r="C29" s="18"/>
      <c r="D29" s="20"/>
      <c r="E29" s="19"/>
      <c r="F29" s="19"/>
      <c r="G29" s="19"/>
      <c r="H29" s="20"/>
      <c r="I29" s="20"/>
      <c r="J29" s="21"/>
      <c r="K29" s="19"/>
      <c r="L29" s="19"/>
      <c r="M29" s="19"/>
      <c r="N29" s="19"/>
      <c r="O29" s="19"/>
      <c r="P29" s="19"/>
      <c r="Q29" s="19"/>
      <c r="R29" s="77"/>
      <c r="S29" s="77"/>
      <c r="T29" s="19"/>
      <c r="U29" s="78"/>
      <c r="V29" s="19"/>
      <c r="W29" s="19"/>
      <c r="X29" s="34"/>
      <c r="Y29" s="34"/>
      <c r="Z29" s="34"/>
      <c r="AA29" s="19"/>
      <c r="AB29" s="34"/>
      <c r="AC29" s="34"/>
      <c r="AD29" s="34"/>
      <c r="AE29" s="34"/>
      <c r="AF29" s="19"/>
      <c r="AG29" s="34"/>
      <c r="AH29" s="40"/>
      <c r="AI29" s="40"/>
      <c r="AJ29" s="40"/>
      <c r="AK29" s="40"/>
      <c r="AL29" s="19"/>
      <c r="AM29" s="19"/>
      <c r="AN29" s="19"/>
    </row>
    <row r="30" spans="1:41" x14ac:dyDescent="0.25">
      <c r="B30" s="6" t="s">
        <v>316</v>
      </c>
      <c r="C30" s="8" t="s">
        <v>57</v>
      </c>
      <c r="D30" s="10">
        <v>66</v>
      </c>
      <c r="E30" s="7" t="s">
        <v>58</v>
      </c>
      <c r="F30" s="7" t="s">
        <v>59</v>
      </c>
      <c r="G30" s="7" t="s">
        <v>14</v>
      </c>
      <c r="H30" s="10">
        <v>1004051</v>
      </c>
      <c r="I30" s="46" t="s">
        <v>600</v>
      </c>
      <c r="J30" s="46" t="s">
        <v>599</v>
      </c>
      <c r="K30" s="7" t="s">
        <v>60</v>
      </c>
      <c r="L30" s="7" t="s">
        <v>61</v>
      </c>
      <c r="M30" s="7"/>
      <c r="N30" s="7">
        <v>21</v>
      </c>
      <c r="O30" s="7">
        <v>2</v>
      </c>
      <c r="P30" s="7">
        <v>8</v>
      </c>
      <c r="Q30" s="7">
        <f t="shared" ref="Q30:Q42" si="13">(N30*O30)+P30</f>
        <v>50</v>
      </c>
      <c r="R30" s="74">
        <f>U4</f>
        <v>689.28571428571422</v>
      </c>
      <c r="S30" s="74">
        <f t="shared" ref="S30:S42" si="14">R30/Q30</f>
        <v>13.785714285714285</v>
      </c>
      <c r="T30" s="7">
        <v>4</v>
      </c>
      <c r="U30" s="75">
        <f t="shared" ref="U30:U42" si="15">T30+S30</f>
        <v>17.785714285714285</v>
      </c>
      <c r="V30" s="7">
        <v>1219</v>
      </c>
      <c r="W30" s="7"/>
      <c r="X30" s="36">
        <f>X3/6</f>
        <v>71.212121212121204</v>
      </c>
      <c r="Y30" s="36">
        <f>Y3</f>
        <v>41.857142857142854</v>
      </c>
      <c r="Z30" s="36">
        <f>Z3*1.5</f>
        <v>5.625</v>
      </c>
      <c r="AA30" s="7">
        <f>AA2</f>
        <v>150</v>
      </c>
      <c r="AB30" s="36">
        <f t="shared" ref="AB30:AB42" si="16">U30*2.1</f>
        <v>37.35</v>
      </c>
      <c r="AC30" s="36"/>
      <c r="AD30" s="36"/>
      <c r="AE30" s="36">
        <f>AE3</f>
        <v>40</v>
      </c>
      <c r="AF30" s="36">
        <f>AF3</f>
        <v>32</v>
      </c>
      <c r="AG30" s="36">
        <f>AG3</f>
        <v>430</v>
      </c>
      <c r="AH30" s="41">
        <f t="shared" ref="AH30:AH40" si="17">V30+X30+Y30+Z30+AA30+AB30+AC30+AD30+AE30+AF30+AG30</f>
        <v>2027.044264069264</v>
      </c>
      <c r="AI30" s="41">
        <f t="shared" ref="AI30:AI40" si="18">AH30/1.05</f>
        <v>1930.5183467326324</v>
      </c>
      <c r="AJ30" s="42">
        <f>AI30-Y3</f>
        <v>1888.6612038754895</v>
      </c>
      <c r="AK30" s="42">
        <f t="shared" ref="AK30:AK45" si="19">AH30*1.05</f>
        <v>2128.3964772727272</v>
      </c>
      <c r="AL30" s="14">
        <f t="shared" ref="AL30:AL39" si="20">AH30*1.1</f>
        <v>2229.7486904761904</v>
      </c>
      <c r="AM30" s="14">
        <f t="shared" ref="AM30:AM45" si="21">AH30*1.15</f>
        <v>2331.1009036796536</v>
      </c>
      <c r="AN30" s="14">
        <f t="shared" ref="AN30:AN39" si="22">AH30*1.25</f>
        <v>2533.8053300865799</v>
      </c>
    </row>
    <row r="31" spans="1:41" x14ac:dyDescent="0.25">
      <c r="B31" s="6" t="s">
        <v>767</v>
      </c>
      <c r="C31" s="8" t="s">
        <v>780</v>
      </c>
      <c r="D31" s="10"/>
      <c r="E31" s="7" t="s">
        <v>782</v>
      </c>
      <c r="F31" s="7" t="s">
        <v>37</v>
      </c>
      <c r="G31" s="7" t="s">
        <v>14</v>
      </c>
      <c r="H31" s="10" t="s">
        <v>783</v>
      </c>
      <c r="I31" s="46" t="s">
        <v>786</v>
      </c>
      <c r="J31" s="46" t="s">
        <v>787</v>
      </c>
      <c r="K31" s="7" t="s">
        <v>784</v>
      </c>
      <c r="L31" s="7" t="s">
        <v>785</v>
      </c>
      <c r="M31" s="7"/>
      <c r="N31" s="7">
        <v>21</v>
      </c>
      <c r="O31" s="7">
        <v>2</v>
      </c>
      <c r="P31" s="7">
        <v>6</v>
      </c>
      <c r="Q31" s="7">
        <f t="shared" si="13"/>
        <v>48</v>
      </c>
      <c r="R31" s="74">
        <f>U4</f>
        <v>689.28571428571422</v>
      </c>
      <c r="S31" s="74">
        <f t="shared" si="14"/>
        <v>14.360119047619046</v>
      </c>
      <c r="T31" s="7">
        <v>4</v>
      </c>
      <c r="U31" s="75">
        <f t="shared" si="15"/>
        <v>18.360119047619044</v>
      </c>
      <c r="V31" s="7">
        <v>1352</v>
      </c>
      <c r="W31" s="7"/>
      <c r="X31" s="36">
        <f>X3/6</f>
        <v>71.212121212121204</v>
      </c>
      <c r="Y31" s="36">
        <f>Y3</f>
        <v>41.857142857142854</v>
      </c>
      <c r="Z31" s="36">
        <f>Z3*1.5</f>
        <v>5.625</v>
      </c>
      <c r="AA31" s="7">
        <f>AA2</f>
        <v>150</v>
      </c>
      <c r="AB31" s="36">
        <f t="shared" si="16"/>
        <v>38.556249999999991</v>
      </c>
      <c r="AC31" s="36"/>
      <c r="AD31" s="36">
        <f>AD2/7</f>
        <v>142.85714285714286</v>
      </c>
      <c r="AE31" s="36">
        <f>AE3</f>
        <v>40</v>
      </c>
      <c r="AF31" s="36">
        <f>AF3</f>
        <v>32</v>
      </c>
      <c r="AG31" s="36">
        <f>AG3</f>
        <v>430</v>
      </c>
      <c r="AH31" s="41">
        <f t="shared" si="17"/>
        <v>2304.1076569264069</v>
      </c>
      <c r="AI31" s="41">
        <f t="shared" si="18"/>
        <v>2194.388244691816</v>
      </c>
      <c r="AJ31" s="42">
        <f>AI31-Y3</f>
        <v>2152.5311018346733</v>
      </c>
      <c r="AK31" s="42">
        <f t="shared" si="19"/>
        <v>2419.3130397727273</v>
      </c>
      <c r="AL31" s="14">
        <f t="shared" si="20"/>
        <v>2534.5184226190477</v>
      </c>
      <c r="AM31" s="14">
        <f t="shared" si="21"/>
        <v>2649.7238054653676</v>
      </c>
      <c r="AN31" s="14">
        <f t="shared" si="22"/>
        <v>2880.1345711580088</v>
      </c>
    </row>
    <row r="32" spans="1:41" x14ac:dyDescent="0.25">
      <c r="B32" s="6" t="s">
        <v>768</v>
      </c>
      <c r="C32" s="8" t="s">
        <v>781</v>
      </c>
      <c r="D32" s="10"/>
      <c r="E32" s="7" t="s">
        <v>788</v>
      </c>
      <c r="F32" s="7" t="s">
        <v>386</v>
      </c>
      <c r="G32" s="7" t="s">
        <v>14</v>
      </c>
      <c r="H32" s="10"/>
      <c r="I32" s="46" t="s">
        <v>790</v>
      </c>
      <c r="J32" s="46" t="s">
        <v>789</v>
      </c>
      <c r="K32" s="7" t="s">
        <v>791</v>
      </c>
      <c r="L32" s="7" t="s">
        <v>792</v>
      </c>
      <c r="M32" s="7"/>
      <c r="N32" s="7">
        <v>33</v>
      </c>
      <c r="O32" s="7">
        <v>1</v>
      </c>
      <c r="P32" s="7">
        <v>4</v>
      </c>
      <c r="Q32" s="7">
        <f t="shared" si="13"/>
        <v>37</v>
      </c>
      <c r="R32" s="74">
        <f>U4</f>
        <v>689.28571428571422</v>
      </c>
      <c r="S32" s="74">
        <f t="shared" si="14"/>
        <v>18.629343629343627</v>
      </c>
      <c r="T32" s="7">
        <v>4</v>
      </c>
      <c r="U32" s="75">
        <f t="shared" si="15"/>
        <v>22.629343629343627</v>
      </c>
      <c r="V32" s="7">
        <v>1390</v>
      </c>
      <c r="W32" s="7"/>
      <c r="X32" s="36">
        <f>X3/6</f>
        <v>71.212121212121204</v>
      </c>
      <c r="Y32" s="36">
        <f>Y3</f>
        <v>41.857142857142854</v>
      </c>
      <c r="Z32" s="36">
        <f>Z3*1.5</f>
        <v>5.625</v>
      </c>
      <c r="AA32" s="7">
        <f>AA2</f>
        <v>150</v>
      </c>
      <c r="AB32" s="36">
        <f t="shared" si="16"/>
        <v>47.52162162162162</v>
      </c>
      <c r="AC32" s="36"/>
      <c r="AD32" s="36">
        <f>AD2/5</f>
        <v>200</v>
      </c>
      <c r="AE32" s="36">
        <f>AE3</f>
        <v>40</v>
      </c>
      <c r="AF32" s="36">
        <f>AF3</f>
        <v>32</v>
      </c>
      <c r="AG32" s="36">
        <f>AG3</f>
        <v>430</v>
      </c>
      <c r="AH32" s="41">
        <f t="shared" si="17"/>
        <v>2408.2158856908854</v>
      </c>
      <c r="AI32" s="41">
        <f t="shared" si="18"/>
        <v>2293.5389387532241</v>
      </c>
      <c r="AJ32" s="35">
        <f>AI32-Y3</f>
        <v>2251.6817958960814</v>
      </c>
      <c r="AK32" s="42">
        <f t="shared" si="19"/>
        <v>2528.6266799754299</v>
      </c>
      <c r="AL32" s="14">
        <f t="shared" si="20"/>
        <v>2649.0374742599743</v>
      </c>
      <c r="AM32" s="14">
        <f t="shared" si="21"/>
        <v>2769.4482685445182</v>
      </c>
      <c r="AN32" s="14">
        <f t="shared" si="22"/>
        <v>3010.269857113607</v>
      </c>
    </row>
    <row r="33" spans="1:40" x14ac:dyDescent="0.25">
      <c r="B33" s="6" t="s">
        <v>317</v>
      </c>
      <c r="C33" s="8" t="s">
        <v>194</v>
      </c>
      <c r="D33" s="10"/>
      <c r="E33" s="7" t="s">
        <v>62</v>
      </c>
      <c r="F33" s="7" t="s">
        <v>63</v>
      </c>
      <c r="G33" s="7" t="s">
        <v>64</v>
      </c>
      <c r="H33" s="10">
        <v>1204459</v>
      </c>
      <c r="I33" s="46" t="s">
        <v>603</v>
      </c>
      <c r="J33" s="46" t="s">
        <v>602</v>
      </c>
      <c r="K33" s="7" t="s">
        <v>65</v>
      </c>
      <c r="L33" s="7" t="s">
        <v>66</v>
      </c>
      <c r="M33" s="7"/>
      <c r="N33" s="7">
        <v>18</v>
      </c>
      <c r="O33" s="7">
        <v>4</v>
      </c>
      <c r="P33" s="7">
        <v>0</v>
      </c>
      <c r="Q33" s="7">
        <f t="shared" si="13"/>
        <v>72</v>
      </c>
      <c r="R33" s="74">
        <f>U4</f>
        <v>689.28571428571422</v>
      </c>
      <c r="S33" s="74">
        <f t="shared" si="14"/>
        <v>9.5734126984126977</v>
      </c>
      <c r="T33" s="7">
        <v>4</v>
      </c>
      <c r="U33" s="75">
        <f t="shared" si="15"/>
        <v>13.573412698412698</v>
      </c>
      <c r="V33" s="7">
        <v>1119</v>
      </c>
      <c r="W33" s="7"/>
      <c r="X33" s="36">
        <f>X3/6</f>
        <v>71.212121212121204</v>
      </c>
      <c r="Y33" s="36">
        <f>Y3</f>
        <v>41.857142857142854</v>
      </c>
      <c r="Z33" s="36">
        <f>Z3*1.5</f>
        <v>5.625</v>
      </c>
      <c r="AA33" s="7">
        <f>AA2</f>
        <v>150</v>
      </c>
      <c r="AB33" s="36">
        <f t="shared" si="16"/>
        <v>28.504166666666666</v>
      </c>
      <c r="AC33" s="36"/>
      <c r="AD33" s="36"/>
      <c r="AE33" s="36">
        <f>AE3</f>
        <v>40</v>
      </c>
      <c r="AF33" s="36">
        <f>AF3</f>
        <v>32</v>
      </c>
      <c r="AG33" s="36">
        <f>AG3</f>
        <v>430</v>
      </c>
      <c r="AH33" s="41">
        <f t="shared" si="17"/>
        <v>1918.1984307359307</v>
      </c>
      <c r="AI33" s="41">
        <f t="shared" si="18"/>
        <v>1826.8556483199341</v>
      </c>
      <c r="AJ33" s="42">
        <f>AI33-Y3</f>
        <v>1784.9985054627912</v>
      </c>
      <c r="AK33" s="42">
        <f t="shared" si="19"/>
        <v>2014.1083522727274</v>
      </c>
      <c r="AL33" s="14">
        <f t="shared" si="20"/>
        <v>2110.0182738095241</v>
      </c>
      <c r="AM33" s="14">
        <f t="shared" si="21"/>
        <v>2205.9281953463201</v>
      </c>
      <c r="AN33" s="14">
        <f t="shared" si="22"/>
        <v>2397.7480384199134</v>
      </c>
    </row>
    <row r="34" spans="1:40" x14ac:dyDescent="0.25">
      <c r="B34" s="6" t="s">
        <v>318</v>
      </c>
      <c r="C34" s="8" t="s">
        <v>67</v>
      </c>
      <c r="D34" s="10"/>
      <c r="E34" s="7" t="s">
        <v>68</v>
      </c>
      <c r="F34" s="7" t="s">
        <v>69</v>
      </c>
      <c r="G34" s="7" t="s">
        <v>64</v>
      </c>
      <c r="H34" s="10">
        <v>1354952</v>
      </c>
      <c r="I34" s="46" t="s">
        <v>606</v>
      </c>
      <c r="J34" s="46" t="s">
        <v>605</v>
      </c>
      <c r="K34" s="7" t="s">
        <v>604</v>
      </c>
      <c r="L34" s="7" t="s">
        <v>70</v>
      </c>
      <c r="M34" s="7"/>
      <c r="N34" s="7">
        <v>18</v>
      </c>
      <c r="O34" s="7">
        <v>4</v>
      </c>
      <c r="P34" s="7">
        <v>0</v>
      </c>
      <c r="Q34" s="7">
        <f t="shared" si="13"/>
        <v>72</v>
      </c>
      <c r="R34" s="74">
        <f>U4</f>
        <v>689.28571428571422</v>
      </c>
      <c r="S34" s="74">
        <f t="shared" si="14"/>
        <v>9.5734126984126977</v>
      </c>
      <c r="T34" s="7">
        <v>4</v>
      </c>
      <c r="U34" s="75">
        <f t="shared" si="15"/>
        <v>13.573412698412698</v>
      </c>
      <c r="V34" s="7">
        <v>1079</v>
      </c>
      <c r="W34" s="7"/>
      <c r="X34" s="36">
        <f>X3/6</f>
        <v>71.212121212121204</v>
      </c>
      <c r="Y34" s="36">
        <f>Y3</f>
        <v>41.857142857142854</v>
      </c>
      <c r="Z34" s="36">
        <f>Z3*1.5</f>
        <v>5.625</v>
      </c>
      <c r="AA34" s="7">
        <f>AA2</f>
        <v>150</v>
      </c>
      <c r="AB34" s="36">
        <f t="shared" si="16"/>
        <v>28.504166666666666</v>
      </c>
      <c r="AC34" s="36"/>
      <c r="AD34" s="36"/>
      <c r="AE34" s="36">
        <f>AE3</f>
        <v>40</v>
      </c>
      <c r="AF34" s="36">
        <f>AF3</f>
        <v>32</v>
      </c>
      <c r="AG34" s="36">
        <f>AG3</f>
        <v>430</v>
      </c>
      <c r="AH34" s="41">
        <f t="shared" si="17"/>
        <v>1878.1984307359307</v>
      </c>
      <c r="AI34" s="41">
        <f t="shared" si="18"/>
        <v>1788.7604102246958</v>
      </c>
      <c r="AJ34" s="42">
        <f>AI34-Y3</f>
        <v>1746.9032673675529</v>
      </c>
      <c r="AK34" s="42">
        <f t="shared" si="19"/>
        <v>1972.1083522727274</v>
      </c>
      <c r="AL34" s="14">
        <f t="shared" si="20"/>
        <v>2066.0182738095241</v>
      </c>
      <c r="AM34" s="14">
        <f t="shared" si="21"/>
        <v>2159.9281953463201</v>
      </c>
      <c r="AN34" s="14">
        <f t="shared" si="22"/>
        <v>2347.7480384199134</v>
      </c>
    </row>
    <row r="35" spans="1:40" ht="30" x14ac:dyDescent="0.25">
      <c r="B35" s="6" t="s">
        <v>319</v>
      </c>
      <c r="C35" s="8" t="s">
        <v>268</v>
      </c>
      <c r="D35" s="10"/>
      <c r="E35" s="7" t="s">
        <v>62</v>
      </c>
      <c r="F35" s="7" t="s">
        <v>69</v>
      </c>
      <c r="G35" s="7" t="s">
        <v>64</v>
      </c>
      <c r="H35" s="10" t="s">
        <v>514</v>
      </c>
      <c r="I35" s="46" t="s">
        <v>608</v>
      </c>
      <c r="J35" s="46" t="s">
        <v>513</v>
      </c>
      <c r="K35" s="7"/>
      <c r="L35" s="7" t="s">
        <v>512</v>
      </c>
      <c r="M35" s="7"/>
      <c r="N35" s="7">
        <v>18</v>
      </c>
      <c r="O35" s="7">
        <v>4</v>
      </c>
      <c r="P35" s="7">
        <v>0</v>
      </c>
      <c r="Q35" s="7">
        <f t="shared" si="13"/>
        <v>72</v>
      </c>
      <c r="R35" s="74">
        <f>U4</f>
        <v>689.28571428571422</v>
      </c>
      <c r="S35" s="74">
        <f t="shared" si="14"/>
        <v>9.5734126984126977</v>
      </c>
      <c r="T35" s="7">
        <v>4</v>
      </c>
      <c r="U35" s="75">
        <f t="shared" si="15"/>
        <v>13.573412698412698</v>
      </c>
      <c r="V35" s="7">
        <v>1079</v>
      </c>
      <c r="W35" s="7"/>
      <c r="X35" s="36">
        <f>X3/6</f>
        <v>71.212121212121204</v>
      </c>
      <c r="Y35" s="36">
        <f>Y3</f>
        <v>41.857142857142854</v>
      </c>
      <c r="Z35" s="36">
        <f>Z3*1.5</f>
        <v>5.625</v>
      </c>
      <c r="AA35" s="7">
        <f>AA2</f>
        <v>150</v>
      </c>
      <c r="AB35" s="36">
        <f t="shared" si="16"/>
        <v>28.504166666666666</v>
      </c>
      <c r="AC35" s="36"/>
      <c r="AD35" s="36"/>
      <c r="AE35" s="36">
        <f>AE3</f>
        <v>40</v>
      </c>
      <c r="AF35" s="36">
        <f>AF3</f>
        <v>32</v>
      </c>
      <c r="AG35" s="36">
        <f>AG3</f>
        <v>430</v>
      </c>
      <c r="AH35" s="41">
        <f t="shared" si="17"/>
        <v>1878.1984307359307</v>
      </c>
      <c r="AI35" s="41">
        <f t="shared" si="18"/>
        <v>1788.7604102246958</v>
      </c>
      <c r="AJ35" s="42">
        <f>AI35-Y3</f>
        <v>1746.9032673675529</v>
      </c>
      <c r="AK35" s="42">
        <f t="shared" si="19"/>
        <v>1972.1083522727274</v>
      </c>
      <c r="AL35" s="14">
        <f>AH35*1.1</f>
        <v>2066.0182738095241</v>
      </c>
      <c r="AM35" s="14">
        <f t="shared" si="21"/>
        <v>2159.9281953463201</v>
      </c>
      <c r="AN35" s="14">
        <f>AH35*1.25</f>
        <v>2347.7480384199134</v>
      </c>
    </row>
    <row r="36" spans="1:40" x14ac:dyDescent="0.25">
      <c r="B36" s="6" t="s">
        <v>320</v>
      </c>
      <c r="C36" s="8" t="s">
        <v>72</v>
      </c>
      <c r="D36" s="10"/>
      <c r="E36" s="7" t="s">
        <v>73</v>
      </c>
      <c r="F36" s="7" t="s">
        <v>74</v>
      </c>
      <c r="G36" s="7" t="s">
        <v>14</v>
      </c>
      <c r="H36" s="10" t="s">
        <v>75</v>
      </c>
      <c r="I36" s="46" t="s">
        <v>612</v>
      </c>
      <c r="J36" s="46" t="s">
        <v>613</v>
      </c>
      <c r="K36" s="7" t="s">
        <v>76</v>
      </c>
      <c r="L36" s="7" t="s">
        <v>77</v>
      </c>
      <c r="M36" s="7"/>
      <c r="N36" s="7">
        <v>21</v>
      </c>
      <c r="O36" s="7">
        <v>4</v>
      </c>
      <c r="P36" s="7">
        <v>2</v>
      </c>
      <c r="Q36" s="7">
        <f t="shared" si="13"/>
        <v>86</v>
      </c>
      <c r="R36" s="74">
        <f>U4</f>
        <v>689.28571428571422</v>
      </c>
      <c r="S36" s="74">
        <f t="shared" si="14"/>
        <v>8.0149501661129552</v>
      </c>
      <c r="T36" s="7">
        <v>4</v>
      </c>
      <c r="U36" s="75">
        <f t="shared" si="15"/>
        <v>12.014950166112955</v>
      </c>
      <c r="V36" s="7">
        <v>980</v>
      </c>
      <c r="W36" s="7"/>
      <c r="X36" s="36">
        <f>X3/6</f>
        <v>71.212121212121204</v>
      </c>
      <c r="Y36" s="36">
        <f>Y3</f>
        <v>41.857142857142854</v>
      </c>
      <c r="Z36" s="36">
        <f>Z3*1.5</f>
        <v>5.625</v>
      </c>
      <c r="AA36" s="7">
        <f>AA2</f>
        <v>150</v>
      </c>
      <c r="AB36" s="36">
        <f t="shared" si="16"/>
        <v>25.231395348837207</v>
      </c>
      <c r="AC36" s="36"/>
      <c r="AD36" s="36"/>
      <c r="AE36" s="36">
        <f>AE3</f>
        <v>40</v>
      </c>
      <c r="AF36" s="36">
        <f>AF3</f>
        <v>32</v>
      </c>
      <c r="AG36" s="36">
        <f>AG3</f>
        <v>430</v>
      </c>
      <c r="AH36" s="41">
        <f t="shared" si="17"/>
        <v>1775.9256594181013</v>
      </c>
      <c r="AI36" s="41">
        <f t="shared" si="18"/>
        <v>1691.3577708743821</v>
      </c>
      <c r="AJ36" s="42">
        <f>AI36-Y3</f>
        <v>1649.5006280172393</v>
      </c>
      <c r="AK36" s="42">
        <f t="shared" si="19"/>
        <v>1864.7219423890065</v>
      </c>
      <c r="AL36" s="14">
        <f t="shared" si="20"/>
        <v>1953.5182253599116</v>
      </c>
      <c r="AM36" s="14">
        <f t="shared" si="21"/>
        <v>2042.3145083308164</v>
      </c>
      <c r="AN36" s="14">
        <f t="shared" si="22"/>
        <v>2219.9070742726267</v>
      </c>
    </row>
    <row r="37" spans="1:40" x14ac:dyDescent="0.25">
      <c r="B37" s="6" t="s">
        <v>321</v>
      </c>
      <c r="C37" s="8" t="s">
        <v>195</v>
      </c>
      <c r="D37" s="10"/>
      <c r="E37" s="7" t="s">
        <v>62</v>
      </c>
      <c r="F37" s="7" t="s">
        <v>35</v>
      </c>
      <c r="G37" s="7" t="s">
        <v>78</v>
      </c>
      <c r="H37" s="10"/>
      <c r="I37" s="46" t="s">
        <v>607</v>
      </c>
      <c r="J37" s="46" t="s">
        <v>611</v>
      </c>
      <c r="K37" s="7" t="s">
        <v>79</v>
      </c>
      <c r="L37" s="7" t="s">
        <v>71</v>
      </c>
      <c r="M37" s="7"/>
      <c r="N37" s="7"/>
      <c r="O37" s="7"/>
      <c r="P37" s="7">
        <v>1000</v>
      </c>
      <c r="Q37" s="7">
        <f t="shared" si="13"/>
        <v>1000</v>
      </c>
      <c r="R37" s="74">
        <f>U4</f>
        <v>689.28571428571422</v>
      </c>
      <c r="S37" s="74">
        <f t="shared" si="14"/>
        <v>0.68928571428571417</v>
      </c>
      <c r="T37" s="7">
        <v>4</v>
      </c>
      <c r="U37" s="75">
        <f t="shared" si="15"/>
        <v>4.6892857142857141</v>
      </c>
      <c r="V37" s="7">
        <v>985</v>
      </c>
      <c r="W37" s="7"/>
      <c r="X37" s="36">
        <f>X3/6</f>
        <v>71.212121212121204</v>
      </c>
      <c r="Y37" s="36">
        <f>Y3</f>
        <v>41.857142857142854</v>
      </c>
      <c r="Z37" s="36">
        <f>Z3*1.5</f>
        <v>5.625</v>
      </c>
      <c r="AA37" s="7">
        <f>AA2</f>
        <v>150</v>
      </c>
      <c r="AB37" s="36">
        <f t="shared" si="16"/>
        <v>9.8475000000000001</v>
      </c>
      <c r="AC37" s="36"/>
      <c r="AD37" s="36"/>
      <c r="AE37" s="36">
        <f>AE3</f>
        <v>40</v>
      </c>
      <c r="AF37" s="36">
        <f>AF3</f>
        <v>32</v>
      </c>
      <c r="AG37" s="36">
        <f>AG3</f>
        <v>430</v>
      </c>
      <c r="AH37" s="41">
        <f t="shared" si="17"/>
        <v>1765.5417640692642</v>
      </c>
      <c r="AI37" s="41">
        <f t="shared" si="18"/>
        <v>1681.4683467326324</v>
      </c>
      <c r="AJ37" s="42">
        <f>AI37-Y3</f>
        <v>1639.6112038754895</v>
      </c>
      <c r="AK37" s="42">
        <f t="shared" si="19"/>
        <v>1853.8188522727276</v>
      </c>
      <c r="AL37" s="14">
        <f t="shared" si="20"/>
        <v>1942.0959404761909</v>
      </c>
      <c r="AM37" s="14">
        <f t="shared" si="21"/>
        <v>2030.3730286796538</v>
      </c>
      <c r="AN37" s="14">
        <f t="shared" si="22"/>
        <v>2206.9272050865802</v>
      </c>
    </row>
    <row r="38" spans="1:40" ht="30" x14ac:dyDescent="0.25">
      <c r="B38" s="6" t="s">
        <v>322</v>
      </c>
      <c r="C38" s="8" t="s">
        <v>252</v>
      </c>
      <c r="D38" s="10"/>
      <c r="E38" s="7" t="s">
        <v>62</v>
      </c>
      <c r="F38" s="7" t="s">
        <v>53</v>
      </c>
      <c r="G38" s="7" t="s">
        <v>64</v>
      </c>
      <c r="H38" s="10" t="s">
        <v>514</v>
      </c>
      <c r="I38" s="46" t="s">
        <v>608</v>
      </c>
      <c r="J38" s="46" t="s">
        <v>513</v>
      </c>
      <c r="K38" s="7"/>
      <c r="L38" s="7" t="s">
        <v>512</v>
      </c>
      <c r="M38" s="7"/>
      <c r="N38" s="7">
        <v>18</v>
      </c>
      <c r="O38" s="7">
        <v>4</v>
      </c>
      <c r="P38" s="7">
        <v>0</v>
      </c>
      <c r="Q38" s="7">
        <f t="shared" si="13"/>
        <v>72</v>
      </c>
      <c r="R38" s="74">
        <f>U4</f>
        <v>689.28571428571422</v>
      </c>
      <c r="S38" s="74">
        <f t="shared" si="14"/>
        <v>9.5734126984126977</v>
      </c>
      <c r="T38" s="7">
        <v>4</v>
      </c>
      <c r="U38" s="75">
        <f t="shared" si="15"/>
        <v>13.573412698412698</v>
      </c>
      <c r="V38" s="7">
        <v>1079</v>
      </c>
      <c r="W38" s="7"/>
      <c r="X38" s="36">
        <f>X3/6</f>
        <v>71.212121212121204</v>
      </c>
      <c r="Y38" s="36">
        <f>Y3</f>
        <v>41.857142857142854</v>
      </c>
      <c r="Z38" s="36">
        <f>Z3*1.5</f>
        <v>5.625</v>
      </c>
      <c r="AA38" s="7">
        <f>AA2</f>
        <v>150</v>
      </c>
      <c r="AB38" s="36">
        <f t="shared" si="16"/>
        <v>28.504166666666666</v>
      </c>
      <c r="AC38" s="36"/>
      <c r="AD38" s="36"/>
      <c r="AE38" s="36">
        <f>AE3</f>
        <v>40</v>
      </c>
      <c r="AF38" s="36">
        <f>AF3</f>
        <v>32</v>
      </c>
      <c r="AG38" s="36">
        <f>AG3</f>
        <v>430</v>
      </c>
      <c r="AH38" s="41">
        <f t="shared" si="17"/>
        <v>1878.1984307359307</v>
      </c>
      <c r="AI38" s="41">
        <f t="shared" si="18"/>
        <v>1788.7604102246958</v>
      </c>
      <c r="AJ38" s="42">
        <f>AI38-Y3</f>
        <v>1746.9032673675529</v>
      </c>
      <c r="AK38" s="42">
        <f t="shared" si="19"/>
        <v>1972.1083522727274</v>
      </c>
      <c r="AL38" s="14">
        <f t="shared" si="20"/>
        <v>2066.0182738095241</v>
      </c>
      <c r="AM38" s="14">
        <f t="shared" si="21"/>
        <v>2159.9281953463201</v>
      </c>
      <c r="AN38" s="14">
        <f t="shared" si="22"/>
        <v>2347.7480384199134</v>
      </c>
    </row>
    <row r="39" spans="1:40" ht="14.25" customHeight="1" x14ac:dyDescent="0.25">
      <c r="B39" s="6" t="s">
        <v>323</v>
      </c>
      <c r="C39" s="8" t="s">
        <v>80</v>
      </c>
      <c r="D39" s="10">
        <v>64</v>
      </c>
      <c r="E39" s="7" t="s">
        <v>31</v>
      </c>
      <c r="F39" s="7" t="s">
        <v>81</v>
      </c>
      <c r="G39" s="7" t="s">
        <v>54</v>
      </c>
      <c r="H39" s="10"/>
      <c r="I39" s="46" t="s">
        <v>609</v>
      </c>
      <c r="J39" s="46" t="s">
        <v>614</v>
      </c>
      <c r="K39" s="7"/>
      <c r="L39" s="7" t="s">
        <v>82</v>
      </c>
      <c r="M39" s="7"/>
      <c r="N39" s="7">
        <v>25</v>
      </c>
      <c r="O39" s="7">
        <v>5</v>
      </c>
      <c r="P39" s="7"/>
      <c r="Q39" s="7">
        <f t="shared" si="13"/>
        <v>125</v>
      </c>
      <c r="R39" s="74">
        <f>U4</f>
        <v>689.28571428571422</v>
      </c>
      <c r="S39" s="74">
        <f t="shared" si="14"/>
        <v>5.5142857142857133</v>
      </c>
      <c r="T39" s="7">
        <v>4</v>
      </c>
      <c r="U39" s="75">
        <f t="shared" si="15"/>
        <v>9.5142857142857125</v>
      </c>
      <c r="V39" s="7">
        <v>846</v>
      </c>
      <c r="W39" s="7"/>
      <c r="X39" s="36">
        <f>X3/6</f>
        <v>71.212121212121204</v>
      </c>
      <c r="Y39" s="36">
        <f>Y3</f>
        <v>41.857142857142854</v>
      </c>
      <c r="Z39" s="36">
        <f>Z3*1.5</f>
        <v>5.625</v>
      </c>
      <c r="AA39" s="7">
        <f>AA2</f>
        <v>150</v>
      </c>
      <c r="AB39" s="36">
        <f t="shared" si="16"/>
        <v>19.979999999999997</v>
      </c>
      <c r="AC39" s="36"/>
      <c r="AD39" s="36"/>
      <c r="AE39" s="36">
        <f>AE3</f>
        <v>40</v>
      </c>
      <c r="AF39" s="36">
        <f>AF3</f>
        <v>32</v>
      </c>
      <c r="AG39" s="36">
        <f>AG3</f>
        <v>430</v>
      </c>
      <c r="AH39" s="41">
        <f t="shared" si="17"/>
        <v>1636.6742640692642</v>
      </c>
      <c r="AI39" s="41">
        <f t="shared" si="18"/>
        <v>1558.73739435168</v>
      </c>
      <c r="AJ39" s="42">
        <f>AI39-Y3</f>
        <v>1516.8802514945371</v>
      </c>
      <c r="AK39" s="42">
        <f t="shared" si="19"/>
        <v>1718.5079772727274</v>
      </c>
      <c r="AL39" s="14">
        <f t="shared" si="20"/>
        <v>1800.3416904761907</v>
      </c>
      <c r="AM39" s="14">
        <f t="shared" si="21"/>
        <v>1882.1754036796535</v>
      </c>
      <c r="AN39" s="14">
        <f t="shared" si="22"/>
        <v>2045.8428300865803</v>
      </c>
    </row>
    <row r="40" spans="1:40" x14ac:dyDescent="0.25">
      <c r="A40" t="s">
        <v>177</v>
      </c>
      <c r="B40" s="6" t="s">
        <v>324</v>
      </c>
      <c r="C40" s="8" t="s">
        <v>295</v>
      </c>
      <c r="D40" s="10">
        <v>40</v>
      </c>
      <c r="E40" s="7" t="s">
        <v>138</v>
      </c>
      <c r="F40" s="7" t="s">
        <v>296</v>
      </c>
      <c r="G40" s="7" t="s">
        <v>14</v>
      </c>
      <c r="H40" s="10" t="s">
        <v>297</v>
      </c>
      <c r="I40" s="46"/>
      <c r="J40" s="46" t="s">
        <v>298</v>
      </c>
      <c r="K40" s="7" t="s">
        <v>299</v>
      </c>
      <c r="L40" s="7" t="s">
        <v>300</v>
      </c>
      <c r="M40" s="7"/>
      <c r="N40" s="7">
        <v>21</v>
      </c>
      <c r="O40" s="7">
        <v>3</v>
      </c>
      <c r="P40" s="7">
        <v>4</v>
      </c>
      <c r="Q40" s="7">
        <f t="shared" si="13"/>
        <v>67</v>
      </c>
      <c r="R40" s="74">
        <f>U4</f>
        <v>689.28571428571422</v>
      </c>
      <c r="S40" s="74">
        <f t="shared" si="14"/>
        <v>10.287846481876331</v>
      </c>
      <c r="T40" s="7">
        <v>4</v>
      </c>
      <c r="U40" s="75">
        <f t="shared" si="15"/>
        <v>14.287846481876331</v>
      </c>
      <c r="V40" s="7">
        <v>1307</v>
      </c>
      <c r="W40" s="7"/>
      <c r="X40" s="36">
        <f>X3/3</f>
        <v>142.42424242424241</v>
      </c>
      <c r="Y40" s="36">
        <f>Y3</f>
        <v>41.857142857142854</v>
      </c>
      <c r="Z40" s="36">
        <f>Z3*1.5</f>
        <v>5.625</v>
      </c>
      <c r="AA40" s="7">
        <f>AA2*1.5</f>
        <v>225</v>
      </c>
      <c r="AB40" s="36">
        <f>(U40+U41)*2.1</f>
        <v>60.008955223880591</v>
      </c>
      <c r="AC40" s="36"/>
      <c r="AD40" s="36">
        <f>AD2/10</f>
        <v>100</v>
      </c>
      <c r="AE40" s="36">
        <f>AE3</f>
        <v>40</v>
      </c>
      <c r="AF40" s="36">
        <f>AF3</f>
        <v>32</v>
      </c>
      <c r="AG40" s="36">
        <f>AG3*1.5</f>
        <v>645</v>
      </c>
      <c r="AH40" s="41">
        <f t="shared" si="17"/>
        <v>2598.9153405052657</v>
      </c>
      <c r="AI40" s="41">
        <f t="shared" si="18"/>
        <v>2475.157467147872</v>
      </c>
      <c r="AJ40" s="42">
        <f>AI40-Y3</f>
        <v>2433.3003242907293</v>
      </c>
      <c r="AK40" s="42">
        <f t="shared" si="19"/>
        <v>2728.8611075305289</v>
      </c>
      <c r="AL40" s="14">
        <f>AH40*1.1</f>
        <v>2858.8068745557925</v>
      </c>
      <c r="AM40" s="14">
        <f t="shared" si="21"/>
        <v>2988.7526415810553</v>
      </c>
      <c r="AN40" s="14">
        <f>AH40*1.25</f>
        <v>3248.6441756315821</v>
      </c>
    </row>
    <row r="41" spans="1:40" x14ac:dyDescent="0.25">
      <c r="B41" s="6"/>
      <c r="C41" s="8"/>
      <c r="D41" s="10"/>
      <c r="E41" s="7"/>
      <c r="F41" s="7"/>
      <c r="G41" s="7"/>
      <c r="H41" s="10"/>
      <c r="I41" s="46"/>
      <c r="J41" s="46"/>
      <c r="K41" s="7"/>
      <c r="L41" s="7"/>
      <c r="M41" s="7"/>
      <c r="N41" s="7">
        <v>21</v>
      </c>
      <c r="O41" s="7">
        <v>3</v>
      </c>
      <c r="P41" s="7">
        <v>4</v>
      </c>
      <c r="Q41" s="7">
        <f t="shared" si="13"/>
        <v>67</v>
      </c>
      <c r="R41" s="74">
        <f>U4</f>
        <v>689.28571428571422</v>
      </c>
      <c r="S41" s="74">
        <f t="shared" si="14"/>
        <v>10.287846481876331</v>
      </c>
      <c r="T41" s="7">
        <v>4</v>
      </c>
      <c r="U41" s="75">
        <f t="shared" si="15"/>
        <v>14.287846481876331</v>
      </c>
      <c r="V41" s="7"/>
      <c r="W41" s="7"/>
      <c r="X41" s="36"/>
      <c r="Y41" s="36"/>
      <c r="Z41" s="36"/>
      <c r="AA41" s="7"/>
      <c r="AB41" s="36"/>
      <c r="AC41" s="36"/>
      <c r="AD41" s="36"/>
      <c r="AE41" s="36"/>
      <c r="AF41" s="36"/>
      <c r="AG41" s="36"/>
      <c r="AH41" s="41"/>
      <c r="AI41" s="41"/>
      <c r="AJ41" s="42"/>
      <c r="AK41" s="42" t="s">
        <v>177</v>
      </c>
      <c r="AL41" s="14"/>
      <c r="AM41" s="14" t="s">
        <v>177</v>
      </c>
      <c r="AN41" s="14"/>
    </row>
    <row r="42" spans="1:40" ht="30" x14ac:dyDescent="0.25">
      <c r="B42" s="6" t="s">
        <v>325</v>
      </c>
      <c r="C42" s="8" t="s">
        <v>267</v>
      </c>
      <c r="D42" s="10"/>
      <c r="E42" s="7" t="s">
        <v>264</v>
      </c>
      <c r="F42" s="7" t="s">
        <v>265</v>
      </c>
      <c r="G42" s="7" t="s">
        <v>266</v>
      </c>
      <c r="H42" s="10" t="s">
        <v>508</v>
      </c>
      <c r="I42" s="46" t="s">
        <v>610</v>
      </c>
      <c r="J42" s="46" t="s">
        <v>271</v>
      </c>
      <c r="K42" s="7"/>
      <c r="L42" s="7" t="s">
        <v>263</v>
      </c>
      <c r="M42" s="7"/>
      <c r="N42" s="7">
        <v>15</v>
      </c>
      <c r="O42" s="7">
        <v>4</v>
      </c>
      <c r="P42" s="7">
        <v>0</v>
      </c>
      <c r="Q42" s="7">
        <f t="shared" si="13"/>
        <v>60</v>
      </c>
      <c r="R42" s="74">
        <f>U4</f>
        <v>689.28571428571422</v>
      </c>
      <c r="S42" s="74">
        <f t="shared" si="14"/>
        <v>11.488095238095237</v>
      </c>
      <c r="T42" s="7">
        <v>4</v>
      </c>
      <c r="U42" s="75">
        <f t="shared" si="15"/>
        <v>15.488095238095237</v>
      </c>
      <c r="V42" s="7">
        <v>2015</v>
      </c>
      <c r="W42" s="7">
        <v>230</v>
      </c>
      <c r="X42" s="36">
        <f>X3/6</f>
        <v>71.212121212121204</v>
      </c>
      <c r="Y42" s="36">
        <f>Y3</f>
        <v>41.857142857142854</v>
      </c>
      <c r="Z42" s="36">
        <f>Z3*4</f>
        <v>15</v>
      </c>
      <c r="AA42" s="7">
        <f>AA2</f>
        <v>150</v>
      </c>
      <c r="AB42" s="36">
        <f t="shared" si="16"/>
        <v>32.524999999999999</v>
      </c>
      <c r="AC42" s="36"/>
      <c r="AD42" s="36"/>
      <c r="AE42" s="36">
        <f>AE2/20</f>
        <v>90</v>
      </c>
      <c r="AF42" s="36">
        <f>AF3</f>
        <v>32</v>
      </c>
      <c r="AG42" s="36">
        <f>AG3</f>
        <v>430</v>
      </c>
      <c r="AH42" s="41">
        <f>V42+W42+X42+Y42+Z42+AA42+AB42+AC42+AD42+AE42+AF42+AG42</f>
        <v>3107.5942640692638</v>
      </c>
      <c r="AI42" s="41">
        <f>AH42/1.05</f>
        <v>2959.61358482787</v>
      </c>
      <c r="AJ42" s="42">
        <f>AI42-Y3</f>
        <v>2917.7564419707273</v>
      </c>
      <c r="AK42" s="42">
        <f t="shared" si="19"/>
        <v>3262.9739772727271</v>
      </c>
      <c r="AL42" s="14">
        <f>AH42*1.1</f>
        <v>3418.3536904761904</v>
      </c>
      <c r="AM42" s="14">
        <f t="shared" si="21"/>
        <v>3573.7334036796528</v>
      </c>
      <c r="AN42" s="14">
        <f>AH42*1.25</f>
        <v>3884.4928300865795</v>
      </c>
    </row>
    <row r="43" spans="1:40" x14ac:dyDescent="0.25">
      <c r="A43" t="s">
        <v>177</v>
      </c>
      <c r="B43" s="6" t="s">
        <v>436</v>
      </c>
      <c r="C43" s="8" t="s">
        <v>463</v>
      </c>
      <c r="D43" s="10">
        <v>39</v>
      </c>
      <c r="E43" s="7" t="s">
        <v>103</v>
      </c>
      <c r="F43" s="7" t="s">
        <v>576</v>
      </c>
      <c r="G43" s="7" t="s">
        <v>266</v>
      </c>
      <c r="H43" s="10"/>
      <c r="I43" s="46"/>
      <c r="J43" s="46"/>
      <c r="K43" s="7"/>
      <c r="L43" s="7"/>
      <c r="M43" s="7"/>
      <c r="N43" s="7">
        <v>15</v>
      </c>
      <c r="O43" s="7">
        <v>5</v>
      </c>
      <c r="P43" s="7">
        <v>0</v>
      </c>
      <c r="Q43" s="7">
        <f>(N43*O43)+P43</f>
        <v>75</v>
      </c>
      <c r="R43" s="74">
        <f>U4</f>
        <v>689.28571428571422</v>
      </c>
      <c r="S43" s="74">
        <f>R43/Q43</f>
        <v>9.1904761904761898</v>
      </c>
      <c r="T43" s="7">
        <v>4</v>
      </c>
      <c r="U43" s="75">
        <f>T43+S43</f>
        <v>13.19047619047619</v>
      </c>
      <c r="V43" s="7">
        <v>1089</v>
      </c>
      <c r="W43" s="7"/>
      <c r="X43" s="36">
        <f>X3/3</f>
        <v>142.42424242424241</v>
      </c>
      <c r="Y43" s="36">
        <f>Y3</f>
        <v>41.857142857142854</v>
      </c>
      <c r="Z43" s="36">
        <f>Z3*1.5</f>
        <v>5.625</v>
      </c>
      <c r="AA43" s="7">
        <f>AA2*2</f>
        <v>300</v>
      </c>
      <c r="AB43" s="36">
        <f>(U43+U44)*2.1</f>
        <v>55.928767123287678</v>
      </c>
      <c r="AC43" s="36"/>
      <c r="AD43" s="36">
        <f>AD2/10</f>
        <v>100</v>
      </c>
      <c r="AE43" s="36">
        <f>AE3</f>
        <v>40</v>
      </c>
      <c r="AF43" s="36">
        <f>AF3</f>
        <v>32</v>
      </c>
      <c r="AG43" s="36">
        <f>AG3*1.5</f>
        <v>645</v>
      </c>
      <c r="AH43" s="41">
        <f>V43+X43+Y43+Z43+AA43+AB43+AC43+AD43+AE43+AF43+AG43</f>
        <v>2451.835152404673</v>
      </c>
      <c r="AI43" s="41">
        <f>AH43/1.05</f>
        <v>2335.0810975282598</v>
      </c>
      <c r="AJ43" s="42">
        <f>AI43-Y3</f>
        <v>2293.2239546711171</v>
      </c>
      <c r="AK43" s="42">
        <f t="shared" si="19"/>
        <v>2574.4269100249066</v>
      </c>
      <c r="AL43" s="14">
        <f>AH43*1.1</f>
        <v>2697.0186676451403</v>
      </c>
      <c r="AM43" s="14">
        <f t="shared" si="21"/>
        <v>2819.6104252653736</v>
      </c>
      <c r="AN43" s="14">
        <f>AH43*1.25</f>
        <v>3064.7939405058414</v>
      </c>
    </row>
    <row r="44" spans="1:40" x14ac:dyDescent="0.25">
      <c r="B44" s="6"/>
      <c r="C44" s="8"/>
      <c r="D44" s="10"/>
      <c r="E44" s="7"/>
      <c r="F44" s="7"/>
      <c r="G44" s="7"/>
      <c r="H44" s="10"/>
      <c r="I44" s="46"/>
      <c r="J44" s="46"/>
      <c r="K44" s="7"/>
      <c r="L44" s="7"/>
      <c r="M44" s="7"/>
      <c r="N44" s="7">
        <v>21</v>
      </c>
      <c r="O44" s="7">
        <v>3</v>
      </c>
      <c r="P44" s="7">
        <v>10</v>
      </c>
      <c r="Q44" s="7">
        <f>(N44*O44)+P44</f>
        <v>73</v>
      </c>
      <c r="R44" s="74">
        <f>U4</f>
        <v>689.28571428571422</v>
      </c>
      <c r="S44" s="74">
        <f>R44/Q44</f>
        <v>9.4422700587084147</v>
      </c>
      <c r="T44" s="7">
        <v>4</v>
      </c>
      <c r="U44" s="75">
        <f>T44+S44</f>
        <v>13.442270058708415</v>
      </c>
      <c r="V44" s="7"/>
      <c r="W44" s="7"/>
      <c r="X44" s="36"/>
      <c r="Y44" s="36"/>
      <c r="Z44" s="36"/>
      <c r="AA44" s="7"/>
      <c r="AB44" s="36"/>
      <c r="AC44" s="36"/>
      <c r="AD44" s="36"/>
      <c r="AE44" s="36"/>
      <c r="AF44" s="36"/>
      <c r="AG44" s="36"/>
      <c r="AH44" s="41"/>
      <c r="AI44" s="41"/>
      <c r="AJ44" s="42"/>
      <c r="AK44" s="42" t="s">
        <v>177</v>
      </c>
      <c r="AL44" s="14"/>
      <c r="AM44" s="14" t="s">
        <v>177</v>
      </c>
      <c r="AN44" s="14"/>
    </row>
    <row r="45" spans="1:40" x14ac:dyDescent="0.25">
      <c r="B45" s="6" t="s">
        <v>487</v>
      </c>
      <c r="C45" s="8" t="s">
        <v>488</v>
      </c>
      <c r="D45" s="10">
        <v>162</v>
      </c>
      <c r="E45" s="7" t="s">
        <v>489</v>
      </c>
      <c r="F45" s="7" t="s">
        <v>489</v>
      </c>
      <c r="G45" s="7" t="s">
        <v>46</v>
      </c>
      <c r="H45" s="10" t="s">
        <v>491</v>
      </c>
      <c r="I45" s="46"/>
      <c r="J45" s="46" t="s">
        <v>490</v>
      </c>
      <c r="K45" s="7"/>
      <c r="L45" s="7"/>
      <c r="M45" s="7"/>
      <c r="N45" s="7">
        <v>32</v>
      </c>
      <c r="O45" s="7">
        <v>4</v>
      </c>
      <c r="P45" s="7">
        <v>12</v>
      </c>
      <c r="Q45" s="7">
        <f>(N45*O45)+P45</f>
        <v>140</v>
      </c>
      <c r="R45" s="74">
        <f>U4</f>
        <v>689.28571428571422</v>
      </c>
      <c r="S45" s="74">
        <f>R45/Q45</f>
        <v>4.9234693877551017</v>
      </c>
      <c r="T45" s="7">
        <v>4</v>
      </c>
      <c r="U45" s="75">
        <f>T45+S45</f>
        <v>8.9234693877551017</v>
      </c>
      <c r="V45" s="7">
        <v>821</v>
      </c>
      <c r="W45" s="7"/>
      <c r="X45" s="36">
        <f>X3/3</f>
        <v>142.42424242424241</v>
      </c>
      <c r="Y45" s="36">
        <f>Y3</f>
        <v>41.857142857142854</v>
      </c>
      <c r="Z45" s="36">
        <f>Z3*1.5</f>
        <v>5.625</v>
      </c>
      <c r="AA45" s="7">
        <f>AA2*2</f>
        <v>300</v>
      </c>
      <c r="AB45" s="36">
        <f>(U45+U46)*2.1</f>
        <v>37.478571428571428</v>
      </c>
      <c r="AC45" s="36"/>
      <c r="AD45" s="36">
        <f>AD2/5</f>
        <v>200</v>
      </c>
      <c r="AE45" s="36">
        <f>AE3</f>
        <v>40</v>
      </c>
      <c r="AF45" s="36">
        <f>AF3</f>
        <v>32</v>
      </c>
      <c r="AG45" s="36">
        <f>AG3*1.2</f>
        <v>516</v>
      </c>
      <c r="AH45" s="41">
        <f>V45+X45+Y45+Z45+AA45+AB45+AC45+AD45+AE45+AF45+AG45</f>
        <v>2136.3849567099569</v>
      </c>
      <c r="AI45" s="41">
        <f>AH45/1.05</f>
        <v>2034.6523397237684</v>
      </c>
      <c r="AJ45" s="42">
        <f>AI45-Y3</f>
        <v>1992.7951968666255</v>
      </c>
      <c r="AK45" s="42">
        <f t="shared" si="19"/>
        <v>2243.204204545455</v>
      </c>
      <c r="AL45" s="14">
        <f>AH45*1.1</f>
        <v>2350.0234523809527</v>
      </c>
      <c r="AM45" s="14">
        <f t="shared" si="21"/>
        <v>2456.8427002164503</v>
      </c>
      <c r="AN45" s="14">
        <f>AH45*1.25</f>
        <v>2670.4811958874461</v>
      </c>
    </row>
    <row r="46" spans="1:40" x14ac:dyDescent="0.25">
      <c r="B46" s="6"/>
      <c r="C46" s="8"/>
      <c r="D46" s="10"/>
      <c r="E46" s="7"/>
      <c r="F46" s="7"/>
      <c r="G46" s="7"/>
      <c r="H46" s="10"/>
      <c r="I46" s="46"/>
      <c r="J46" s="46"/>
      <c r="K46" s="7"/>
      <c r="L46" s="7"/>
      <c r="M46" s="7"/>
      <c r="N46" s="7">
        <v>32</v>
      </c>
      <c r="O46" s="7">
        <v>4</v>
      </c>
      <c r="P46" s="7">
        <v>12</v>
      </c>
      <c r="Q46" s="7">
        <f>(N46*O46)+P46</f>
        <v>140</v>
      </c>
      <c r="R46" s="74">
        <f>U4</f>
        <v>689.28571428571422</v>
      </c>
      <c r="S46" s="74">
        <f>R46/Q46</f>
        <v>4.9234693877551017</v>
      </c>
      <c r="T46" s="7">
        <v>4</v>
      </c>
      <c r="U46" s="75">
        <f>T46+S46</f>
        <v>8.9234693877551017</v>
      </c>
      <c r="V46" s="7"/>
      <c r="W46" s="7"/>
      <c r="X46" s="36"/>
      <c r="Y46" s="36"/>
      <c r="Z46" s="36"/>
      <c r="AA46" s="7"/>
      <c r="AB46" s="36"/>
      <c r="AC46" s="36"/>
      <c r="AD46" s="36"/>
      <c r="AE46" s="36"/>
      <c r="AF46" s="36"/>
      <c r="AG46" s="36"/>
      <c r="AH46" s="41"/>
      <c r="AI46" s="41"/>
      <c r="AJ46" s="42"/>
      <c r="AK46" s="42" t="s">
        <v>177</v>
      </c>
      <c r="AL46" s="14"/>
      <c r="AM46" s="14" t="s">
        <v>177</v>
      </c>
      <c r="AN46" s="14"/>
    </row>
    <row r="47" spans="1:40" x14ac:dyDescent="0.25">
      <c r="B47" s="2"/>
      <c r="C47" s="4"/>
      <c r="D47" s="5"/>
      <c r="E47" s="3"/>
      <c r="F47" s="3"/>
      <c r="G47" s="3"/>
      <c r="H47" s="5"/>
      <c r="I47" s="5"/>
      <c r="J47" s="1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5"/>
      <c r="Y47" s="35"/>
      <c r="Z47" s="35"/>
      <c r="AA47" s="3"/>
      <c r="AB47" s="35"/>
      <c r="AC47" s="35"/>
      <c r="AD47" s="35"/>
      <c r="AE47" s="35"/>
      <c r="AF47" s="3"/>
      <c r="AG47" s="35"/>
      <c r="AH47" s="42"/>
      <c r="AI47" s="42"/>
      <c r="AJ47" s="42"/>
      <c r="AK47" s="42"/>
      <c r="AL47" s="3"/>
      <c r="AM47" s="3"/>
      <c r="AN47" s="23"/>
    </row>
    <row r="48" spans="1:40" ht="15.75" customHeight="1" x14ac:dyDescent="0.25">
      <c r="B48" s="17" t="s">
        <v>83</v>
      </c>
      <c r="C48" s="18"/>
      <c r="D48" s="20"/>
      <c r="E48" s="19"/>
      <c r="F48" s="19"/>
      <c r="G48" s="19"/>
      <c r="H48" s="20"/>
      <c r="I48" s="20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34"/>
      <c r="Y48" s="34"/>
      <c r="Z48" s="34"/>
      <c r="AA48" s="19"/>
      <c r="AB48" s="34"/>
      <c r="AC48" s="34"/>
      <c r="AD48" s="34"/>
      <c r="AE48" s="34"/>
      <c r="AF48" s="19"/>
      <c r="AG48" s="34"/>
      <c r="AH48" s="40"/>
      <c r="AI48" s="40"/>
      <c r="AJ48" s="40"/>
      <c r="AK48" s="40"/>
      <c r="AL48" s="19"/>
      <c r="AM48" s="19"/>
      <c r="AN48" s="19"/>
    </row>
    <row r="49" spans="2:41" x14ac:dyDescent="0.25">
      <c r="B49" s="6" t="s">
        <v>326</v>
      </c>
      <c r="C49" s="8" t="s">
        <v>84</v>
      </c>
      <c r="D49" s="10">
        <v>92</v>
      </c>
      <c r="E49" s="7" t="s">
        <v>85</v>
      </c>
      <c r="F49" s="7" t="s">
        <v>86</v>
      </c>
      <c r="G49" s="7" t="s">
        <v>10</v>
      </c>
      <c r="H49" s="10">
        <v>90360171</v>
      </c>
      <c r="I49" s="46" t="s">
        <v>616</v>
      </c>
      <c r="J49" s="46" t="s">
        <v>615</v>
      </c>
      <c r="K49" s="7" t="s">
        <v>87</v>
      </c>
      <c r="L49" s="7" t="s">
        <v>88</v>
      </c>
      <c r="M49" s="7"/>
      <c r="N49" s="7">
        <v>32</v>
      </c>
      <c r="O49" s="7">
        <v>2</v>
      </c>
      <c r="P49" s="7">
        <v>8</v>
      </c>
      <c r="Q49" s="7">
        <f t="shared" ref="Q49:Q55" si="23">(N49*O49)+P49</f>
        <v>72</v>
      </c>
      <c r="R49" s="74">
        <f>U4</f>
        <v>689.28571428571422</v>
      </c>
      <c r="S49" s="74">
        <f t="shared" ref="S49:S57" si="24">R49/Q49</f>
        <v>9.5734126984126977</v>
      </c>
      <c r="T49" s="7">
        <v>4</v>
      </c>
      <c r="U49" s="75">
        <f t="shared" ref="U49:U57" si="25">T49+S49</f>
        <v>13.573412698412698</v>
      </c>
      <c r="V49" s="7">
        <v>1120</v>
      </c>
      <c r="W49" s="7"/>
      <c r="X49" s="36">
        <f>X3/4</f>
        <v>106.81818181818181</v>
      </c>
      <c r="Y49" s="36">
        <f>Y3</f>
        <v>41.857142857142854</v>
      </c>
      <c r="Z49" s="36">
        <f>Z3*1.5</f>
        <v>5.625</v>
      </c>
      <c r="AA49" s="7">
        <f>AA2</f>
        <v>150</v>
      </c>
      <c r="AB49" s="36">
        <f>U49*2.1</f>
        <v>28.504166666666666</v>
      </c>
      <c r="AC49" s="36"/>
      <c r="AD49" s="36"/>
      <c r="AE49" s="36">
        <f>AE3</f>
        <v>40</v>
      </c>
      <c r="AF49" s="36">
        <f>AF3</f>
        <v>32</v>
      </c>
      <c r="AG49" s="36">
        <f>AG3</f>
        <v>430</v>
      </c>
      <c r="AH49" s="41">
        <f t="shared" ref="AH49:AH57" si="26">V49+X49+Y49+Z49+AA49+AB49+AC49+AD49+AE49+AF49+AG49</f>
        <v>1954.8044913419913</v>
      </c>
      <c r="AI49" s="41">
        <f t="shared" ref="AI49:AI57" si="27">AH49/1.05</f>
        <v>1861.7185631828488</v>
      </c>
      <c r="AJ49" s="42">
        <f>AI49-Y3</f>
        <v>1819.8614203257059</v>
      </c>
      <c r="AK49" s="42">
        <f t="shared" ref="AK49:AK57" si="28">AH49*1.05</f>
        <v>2052.5447159090909</v>
      </c>
      <c r="AL49" s="14">
        <f t="shared" ref="AL49:AL57" si="29">AH49*1.1</f>
        <v>2150.2849404761905</v>
      </c>
      <c r="AM49" s="14">
        <f t="shared" ref="AM49:AM57" si="30">AH49*1.15</f>
        <v>2248.0251650432897</v>
      </c>
      <c r="AN49" s="14">
        <f t="shared" ref="AN49:AN57" si="31">AH49*1.25</f>
        <v>2443.505614177489</v>
      </c>
    </row>
    <row r="50" spans="2:41" x14ac:dyDescent="0.25">
      <c r="B50" s="6" t="s">
        <v>370</v>
      </c>
      <c r="C50" s="8" t="s">
        <v>371</v>
      </c>
      <c r="D50" s="10"/>
      <c r="E50" s="7" t="s">
        <v>372</v>
      </c>
      <c r="F50" s="7" t="s">
        <v>373</v>
      </c>
      <c r="G50" s="7" t="s">
        <v>14</v>
      </c>
      <c r="H50" s="10">
        <v>93172299</v>
      </c>
      <c r="I50" s="46" t="s">
        <v>617</v>
      </c>
      <c r="J50" s="46" t="s">
        <v>623</v>
      </c>
      <c r="K50" s="7" t="s">
        <v>374</v>
      </c>
      <c r="L50" s="7" t="s">
        <v>375</v>
      </c>
      <c r="M50" s="7"/>
      <c r="N50" s="7">
        <v>21</v>
      </c>
      <c r="O50" s="7">
        <v>3</v>
      </c>
      <c r="P50" s="7">
        <v>0</v>
      </c>
      <c r="Q50" s="7">
        <f t="shared" si="23"/>
        <v>63</v>
      </c>
      <c r="R50" s="74">
        <f>U4</f>
        <v>689.28571428571422</v>
      </c>
      <c r="S50" s="74">
        <f t="shared" si="24"/>
        <v>10.941043083900226</v>
      </c>
      <c r="T50" s="7">
        <v>4</v>
      </c>
      <c r="U50" s="75">
        <f t="shared" si="25"/>
        <v>14.941043083900226</v>
      </c>
      <c r="V50" s="7">
        <v>1251</v>
      </c>
      <c r="W50" s="7"/>
      <c r="X50" s="36">
        <f>X3/6</f>
        <v>71.212121212121204</v>
      </c>
      <c r="Y50" s="36">
        <f>Y3</f>
        <v>41.857142857142854</v>
      </c>
      <c r="Z50" s="36">
        <f>Z3*1.5</f>
        <v>5.625</v>
      </c>
      <c r="AA50" s="7">
        <f>AA2</f>
        <v>150</v>
      </c>
      <c r="AB50" s="36">
        <f t="shared" ref="AB50:AB57" si="32">U50*2.1</f>
        <v>31.376190476190477</v>
      </c>
      <c r="AC50" s="36"/>
      <c r="AD50" s="36">
        <f>AD2/7</f>
        <v>142.85714285714286</v>
      </c>
      <c r="AE50" s="36">
        <f>AE3</f>
        <v>40</v>
      </c>
      <c r="AF50" s="36">
        <f>AF3</f>
        <v>32</v>
      </c>
      <c r="AG50" s="36">
        <f>AG3</f>
        <v>430</v>
      </c>
      <c r="AH50" s="41">
        <f t="shared" si="26"/>
        <v>2195.9275974025977</v>
      </c>
      <c r="AI50" s="41">
        <f t="shared" si="27"/>
        <v>2091.3596165739027</v>
      </c>
      <c r="AJ50" s="42">
        <f>AI50-Y3</f>
        <v>2049.5024737167601</v>
      </c>
      <c r="AK50" s="42">
        <f t="shared" si="28"/>
        <v>2305.7239772727276</v>
      </c>
      <c r="AL50" s="14">
        <f t="shared" si="29"/>
        <v>2415.5203571428578</v>
      </c>
      <c r="AM50" s="14">
        <f t="shared" si="30"/>
        <v>2525.3167370129872</v>
      </c>
      <c r="AN50" s="14">
        <f t="shared" si="31"/>
        <v>2744.9094967532474</v>
      </c>
      <c r="AO50" s="79" t="s">
        <v>177</v>
      </c>
    </row>
    <row r="51" spans="2:41" ht="30" x14ac:dyDescent="0.25">
      <c r="B51" s="6" t="s">
        <v>327</v>
      </c>
      <c r="C51" s="8" t="s">
        <v>89</v>
      </c>
      <c r="D51" s="10"/>
      <c r="E51" s="7" t="s">
        <v>90</v>
      </c>
      <c r="F51" s="7" t="s">
        <v>91</v>
      </c>
      <c r="G51" s="7" t="s">
        <v>14</v>
      </c>
      <c r="H51" s="10" t="s">
        <v>92</v>
      </c>
      <c r="I51" s="46" t="s">
        <v>618</v>
      </c>
      <c r="J51" s="46" t="s">
        <v>626</v>
      </c>
      <c r="K51" s="7" t="s">
        <v>93</v>
      </c>
      <c r="L51" s="7" t="s">
        <v>94</v>
      </c>
      <c r="M51" s="7"/>
      <c r="N51" s="7">
        <v>21</v>
      </c>
      <c r="O51" s="7">
        <v>3</v>
      </c>
      <c r="P51" s="7">
        <v>6</v>
      </c>
      <c r="Q51" s="7">
        <f t="shared" si="23"/>
        <v>69</v>
      </c>
      <c r="R51" s="74">
        <f>U4</f>
        <v>689.28571428571422</v>
      </c>
      <c r="S51" s="74">
        <f t="shared" si="24"/>
        <v>9.9896480331262936</v>
      </c>
      <c r="T51" s="7">
        <v>4</v>
      </c>
      <c r="U51" s="75">
        <f t="shared" si="25"/>
        <v>13.989648033126294</v>
      </c>
      <c r="V51" s="7">
        <v>1322</v>
      </c>
      <c r="W51" s="7"/>
      <c r="X51" s="36">
        <f>X3/6</f>
        <v>71.212121212121204</v>
      </c>
      <c r="Y51" s="36">
        <f>Y3</f>
        <v>41.857142857142854</v>
      </c>
      <c r="Z51" s="36">
        <f>Z3*1.5</f>
        <v>5.625</v>
      </c>
      <c r="AA51" s="7">
        <f>AA2</f>
        <v>150</v>
      </c>
      <c r="AB51" s="36">
        <f t="shared" si="32"/>
        <v>29.378260869565217</v>
      </c>
      <c r="AC51" s="36"/>
      <c r="AD51" s="36"/>
      <c r="AE51" s="36">
        <f>AE3</f>
        <v>40</v>
      </c>
      <c r="AF51" s="36">
        <f>AF3</f>
        <v>32</v>
      </c>
      <c r="AG51" s="36">
        <f>AG3</f>
        <v>430</v>
      </c>
      <c r="AH51" s="41">
        <f t="shared" si="26"/>
        <v>2122.0725249388292</v>
      </c>
      <c r="AI51" s="41">
        <f t="shared" si="27"/>
        <v>2021.0214523226944</v>
      </c>
      <c r="AJ51" s="42">
        <f>AI51-Y3</f>
        <v>1979.1643094655515</v>
      </c>
      <c r="AK51" s="42">
        <f t="shared" si="28"/>
        <v>2228.1761511857708</v>
      </c>
      <c r="AL51" s="14">
        <f t="shared" si="29"/>
        <v>2334.2797774327123</v>
      </c>
      <c r="AM51" s="14">
        <f t="shared" si="30"/>
        <v>2440.3834036796534</v>
      </c>
      <c r="AN51" s="14">
        <f t="shared" si="31"/>
        <v>2652.5906561735364</v>
      </c>
    </row>
    <row r="52" spans="2:41" x14ac:dyDescent="0.25">
      <c r="B52" s="6" t="s">
        <v>328</v>
      </c>
      <c r="C52" s="8" t="s">
        <v>215</v>
      </c>
      <c r="D52" s="10"/>
      <c r="E52" s="7" t="s">
        <v>42</v>
      </c>
      <c r="F52" s="7" t="s">
        <v>216</v>
      </c>
      <c r="G52" s="7" t="s">
        <v>14</v>
      </c>
      <c r="H52" s="10">
        <v>1808612</v>
      </c>
      <c r="I52" s="46" t="s">
        <v>619</v>
      </c>
      <c r="J52" s="46" t="s">
        <v>627</v>
      </c>
      <c r="K52" s="7" t="s">
        <v>217</v>
      </c>
      <c r="L52" s="7" t="s">
        <v>218</v>
      </c>
      <c r="M52" s="7"/>
      <c r="N52" s="7">
        <v>21</v>
      </c>
      <c r="O52" s="7">
        <v>3</v>
      </c>
      <c r="P52" s="7">
        <v>10</v>
      </c>
      <c r="Q52" s="7">
        <f t="shared" si="23"/>
        <v>73</v>
      </c>
      <c r="R52" s="74">
        <f>U4</f>
        <v>689.28571428571422</v>
      </c>
      <c r="S52" s="74">
        <f t="shared" si="24"/>
        <v>9.4422700587084147</v>
      </c>
      <c r="T52" s="7">
        <v>4</v>
      </c>
      <c r="U52" s="75">
        <f t="shared" si="25"/>
        <v>13.442270058708415</v>
      </c>
      <c r="V52" s="7">
        <v>1221</v>
      </c>
      <c r="W52" s="7"/>
      <c r="X52" s="36">
        <f>X3/6</f>
        <v>71.212121212121204</v>
      </c>
      <c r="Y52" s="36">
        <f>Y3</f>
        <v>41.857142857142854</v>
      </c>
      <c r="Z52" s="36">
        <f>Z3*1.5</f>
        <v>5.625</v>
      </c>
      <c r="AA52" s="7">
        <f>AA2</f>
        <v>150</v>
      </c>
      <c r="AB52" s="36">
        <f t="shared" si="32"/>
        <v>28.228767123287671</v>
      </c>
      <c r="AC52" s="36"/>
      <c r="AD52" s="36"/>
      <c r="AE52" s="36">
        <f>AE3</f>
        <v>40</v>
      </c>
      <c r="AF52" s="36">
        <f>AF3</f>
        <v>32</v>
      </c>
      <c r="AG52" s="36">
        <f>AG3</f>
        <v>430</v>
      </c>
      <c r="AH52" s="41">
        <f t="shared" si="26"/>
        <v>2019.9230311925519</v>
      </c>
      <c r="AI52" s="41">
        <f t="shared" si="27"/>
        <v>1923.7362201833826</v>
      </c>
      <c r="AJ52" s="42">
        <f>AI52-Y3</f>
        <v>1881.8790773262397</v>
      </c>
      <c r="AK52" s="42">
        <f t="shared" si="28"/>
        <v>2120.9191827521795</v>
      </c>
      <c r="AL52" s="14">
        <f t="shared" si="29"/>
        <v>2221.9153343118073</v>
      </c>
      <c r="AM52" s="14">
        <f t="shared" si="30"/>
        <v>2322.9114858714347</v>
      </c>
      <c r="AN52" s="14">
        <f t="shared" si="31"/>
        <v>2524.9037889906899</v>
      </c>
    </row>
    <row r="53" spans="2:41" ht="30" x14ac:dyDescent="0.25">
      <c r="B53" s="6" t="s">
        <v>329</v>
      </c>
      <c r="C53" s="25" t="s">
        <v>95</v>
      </c>
      <c r="D53" s="10"/>
      <c r="E53" s="7" t="s">
        <v>96</v>
      </c>
      <c r="F53" s="7" t="s">
        <v>97</v>
      </c>
      <c r="G53" s="7" t="s">
        <v>14</v>
      </c>
      <c r="H53" s="10" t="s">
        <v>98</v>
      </c>
      <c r="I53" s="46" t="s">
        <v>620</v>
      </c>
      <c r="J53" s="46" t="s">
        <v>628</v>
      </c>
      <c r="K53" s="7" t="s">
        <v>99</v>
      </c>
      <c r="L53" s="7" t="s">
        <v>100</v>
      </c>
      <c r="M53" s="7"/>
      <c r="N53" s="7">
        <v>21</v>
      </c>
      <c r="O53" s="7">
        <v>4</v>
      </c>
      <c r="P53" s="7">
        <v>6</v>
      </c>
      <c r="Q53" s="7">
        <f t="shared" si="23"/>
        <v>90</v>
      </c>
      <c r="R53" s="74">
        <f>U4</f>
        <v>689.28571428571422</v>
      </c>
      <c r="S53" s="74">
        <f t="shared" si="24"/>
        <v>7.6587301587301582</v>
      </c>
      <c r="T53" s="7">
        <v>4</v>
      </c>
      <c r="U53" s="75">
        <f>T53+S53</f>
        <v>11.658730158730158</v>
      </c>
      <c r="V53" s="7">
        <v>967</v>
      </c>
      <c r="W53" s="7"/>
      <c r="X53" s="36">
        <f>X3/6</f>
        <v>71.212121212121204</v>
      </c>
      <c r="Y53" s="36">
        <f>Y3</f>
        <v>41.857142857142854</v>
      </c>
      <c r="Z53" s="36">
        <f>Z3*1.5</f>
        <v>5.625</v>
      </c>
      <c r="AA53" s="7">
        <f>AA2</f>
        <v>150</v>
      </c>
      <c r="AB53" s="36">
        <f t="shared" si="32"/>
        <v>24.483333333333334</v>
      </c>
      <c r="AC53" s="36"/>
      <c r="AD53" s="36"/>
      <c r="AE53" s="36">
        <f>AE3</f>
        <v>40</v>
      </c>
      <c r="AF53" s="36">
        <f>AF3</f>
        <v>32</v>
      </c>
      <c r="AG53" s="36">
        <f>AG3</f>
        <v>430</v>
      </c>
      <c r="AH53" s="41">
        <f t="shared" si="26"/>
        <v>1762.1775974025975</v>
      </c>
      <c r="AI53" s="41">
        <f t="shared" si="27"/>
        <v>1678.2643784786642</v>
      </c>
      <c r="AJ53" s="42">
        <f>AI53-Y3</f>
        <v>1636.4072356215213</v>
      </c>
      <c r="AK53" s="42">
        <f t="shared" si="28"/>
        <v>1850.2864772727273</v>
      </c>
      <c r="AL53" s="14">
        <f t="shared" si="29"/>
        <v>1938.3953571428574</v>
      </c>
      <c r="AM53" s="14">
        <f t="shared" si="30"/>
        <v>2026.504237012987</v>
      </c>
      <c r="AN53" s="14">
        <f t="shared" si="31"/>
        <v>2202.7219967532469</v>
      </c>
    </row>
    <row r="54" spans="2:41" ht="30" x14ac:dyDescent="0.25">
      <c r="B54" s="6" t="s">
        <v>330</v>
      </c>
      <c r="C54" s="8" t="s">
        <v>102</v>
      </c>
      <c r="D54" s="10">
        <v>100</v>
      </c>
      <c r="E54" s="7" t="s">
        <v>68</v>
      </c>
      <c r="F54" s="7" t="s">
        <v>103</v>
      </c>
      <c r="G54" s="7" t="s">
        <v>10</v>
      </c>
      <c r="H54" s="10" t="s">
        <v>178</v>
      </c>
      <c r="I54" s="46" t="s">
        <v>621</v>
      </c>
      <c r="J54" s="46" t="s">
        <v>629</v>
      </c>
      <c r="K54" s="7" t="s">
        <v>630</v>
      </c>
      <c r="L54" s="7" t="s">
        <v>104</v>
      </c>
      <c r="M54" s="7"/>
      <c r="N54" s="7">
        <v>32</v>
      </c>
      <c r="O54" s="7">
        <v>4</v>
      </c>
      <c r="P54" s="7">
        <v>0</v>
      </c>
      <c r="Q54" s="7">
        <f t="shared" si="23"/>
        <v>128</v>
      </c>
      <c r="R54" s="74">
        <f>U4</f>
        <v>689.28571428571422</v>
      </c>
      <c r="S54" s="74">
        <f t="shared" si="24"/>
        <v>5.3850446428571423</v>
      </c>
      <c r="T54" s="7">
        <v>4</v>
      </c>
      <c r="U54" s="75">
        <f t="shared" si="25"/>
        <v>9.3850446428571423</v>
      </c>
      <c r="V54" s="7">
        <v>965</v>
      </c>
      <c r="W54" s="7"/>
      <c r="X54" s="36">
        <f>X3/6</f>
        <v>71.212121212121204</v>
      </c>
      <c r="Y54" s="36">
        <f>Y3</f>
        <v>41.857142857142854</v>
      </c>
      <c r="Z54" s="36">
        <f>Z3*1.5</f>
        <v>5.625</v>
      </c>
      <c r="AA54" s="7">
        <f>AA2</f>
        <v>150</v>
      </c>
      <c r="AB54" s="36">
        <f t="shared" si="32"/>
        <v>19.708593749999999</v>
      </c>
      <c r="AC54" s="36"/>
      <c r="AD54" s="36"/>
      <c r="AE54" s="36">
        <f>AE3</f>
        <v>40</v>
      </c>
      <c r="AF54" s="36">
        <f>AF3</f>
        <v>32</v>
      </c>
      <c r="AG54" s="36">
        <f>AG3</f>
        <v>430</v>
      </c>
      <c r="AH54" s="41">
        <f t="shared" si="26"/>
        <v>1755.4028578192642</v>
      </c>
      <c r="AI54" s="41">
        <f t="shared" si="27"/>
        <v>1671.8122455421562</v>
      </c>
      <c r="AJ54" s="42">
        <f>AI54-Y3</f>
        <v>1629.9551026850133</v>
      </c>
      <c r="AK54" s="42">
        <f t="shared" si="28"/>
        <v>1843.1730007102276</v>
      </c>
      <c r="AL54" s="14">
        <f t="shared" si="29"/>
        <v>1930.9431436011907</v>
      </c>
      <c r="AM54" s="14">
        <f t="shared" si="30"/>
        <v>2018.7132864921537</v>
      </c>
      <c r="AN54" s="14">
        <f t="shared" si="31"/>
        <v>2194.2535722740804</v>
      </c>
    </row>
    <row r="55" spans="2:41" x14ac:dyDescent="0.25">
      <c r="B55" s="6" t="s">
        <v>760</v>
      </c>
      <c r="C55" s="8" t="s">
        <v>762</v>
      </c>
      <c r="D55" s="10"/>
      <c r="E55" s="7" t="s">
        <v>122</v>
      </c>
      <c r="F55" s="7" t="s">
        <v>35</v>
      </c>
      <c r="G55" s="7" t="s">
        <v>761</v>
      </c>
      <c r="H55" s="10">
        <v>96425700</v>
      </c>
      <c r="I55" s="46" t="s">
        <v>763</v>
      </c>
      <c r="J55" s="46" t="s">
        <v>764</v>
      </c>
      <c r="K55" s="7" t="s">
        <v>765</v>
      </c>
      <c r="L55" s="7" t="s">
        <v>766</v>
      </c>
      <c r="M55" s="7"/>
      <c r="N55" s="7">
        <v>50</v>
      </c>
      <c r="O55" s="7">
        <v>5</v>
      </c>
      <c r="P55" s="7">
        <v>0</v>
      </c>
      <c r="Q55" s="7">
        <f t="shared" si="23"/>
        <v>250</v>
      </c>
      <c r="R55" s="74">
        <f>U4</f>
        <v>689.28571428571422</v>
      </c>
      <c r="S55" s="74">
        <f t="shared" si="24"/>
        <v>2.7571428571428567</v>
      </c>
      <c r="T55" s="7">
        <v>4</v>
      </c>
      <c r="U55" s="75">
        <f t="shared" si="25"/>
        <v>6.7571428571428562</v>
      </c>
      <c r="V55" s="7">
        <v>925</v>
      </c>
      <c r="W55" s="7"/>
      <c r="X55" s="36">
        <f>X3/6</f>
        <v>71.212121212121204</v>
      </c>
      <c r="Y55" s="36">
        <f>Y3</f>
        <v>41.857142857142854</v>
      </c>
      <c r="Z55" s="36">
        <f>Z3*1.5</f>
        <v>5.625</v>
      </c>
      <c r="AA55" s="7">
        <f>AA2</f>
        <v>150</v>
      </c>
      <c r="AB55" s="36">
        <f t="shared" si="32"/>
        <v>14.19</v>
      </c>
      <c r="AC55" s="36"/>
      <c r="AD55" s="36">
        <f>AD2/6</f>
        <v>166.66666666666666</v>
      </c>
      <c r="AE55" s="36">
        <f>AE3</f>
        <v>40</v>
      </c>
      <c r="AF55" s="36">
        <f>AF3</f>
        <v>32</v>
      </c>
      <c r="AG55" s="36">
        <f>AG3</f>
        <v>430</v>
      </c>
      <c r="AH55" s="41">
        <f>V55+X55+Y55+Z55+AA55+AB55+AC55+AD55+AE55+AF55+AG55</f>
        <v>1876.5509307359309</v>
      </c>
      <c r="AI55" s="41">
        <f t="shared" si="27"/>
        <v>1787.1913626056485</v>
      </c>
      <c r="AJ55" s="42">
        <f>AI55-Y3</f>
        <v>1745.3342197485056</v>
      </c>
      <c r="AK55" s="42">
        <f t="shared" si="28"/>
        <v>1970.3784772727277</v>
      </c>
      <c r="AL55" s="14">
        <f t="shared" si="29"/>
        <v>2064.2060238095241</v>
      </c>
      <c r="AM55" s="14">
        <f t="shared" si="30"/>
        <v>2158.0335703463206</v>
      </c>
      <c r="AN55" s="14">
        <f t="shared" si="31"/>
        <v>2345.6886634199136</v>
      </c>
    </row>
    <row r="56" spans="2:41" ht="30" x14ac:dyDescent="0.25">
      <c r="B56" s="6" t="s">
        <v>331</v>
      </c>
      <c r="C56" s="8" t="s">
        <v>269</v>
      </c>
      <c r="D56" s="10">
        <v>60</v>
      </c>
      <c r="E56" s="7" t="s">
        <v>62</v>
      </c>
      <c r="F56" s="7" t="s">
        <v>69</v>
      </c>
      <c r="G56" s="7" t="s">
        <v>64</v>
      </c>
      <c r="H56" s="10" t="s">
        <v>511</v>
      </c>
      <c r="I56" s="46" t="s">
        <v>631</v>
      </c>
      <c r="J56" s="46" t="s">
        <v>510</v>
      </c>
      <c r="K56" s="7" t="s">
        <v>509</v>
      </c>
      <c r="L56" s="7" t="s">
        <v>105</v>
      </c>
      <c r="M56" s="7"/>
      <c r="N56" s="7">
        <v>18</v>
      </c>
      <c r="O56" s="7">
        <v>4</v>
      </c>
      <c r="P56" s="7">
        <v>0</v>
      </c>
      <c r="Q56" s="7">
        <f>N56*O56</f>
        <v>72</v>
      </c>
      <c r="R56" s="74">
        <f>U4</f>
        <v>689.28571428571422</v>
      </c>
      <c r="S56" s="74">
        <f t="shared" si="24"/>
        <v>9.5734126984126977</v>
      </c>
      <c r="T56" s="7">
        <v>4</v>
      </c>
      <c r="U56" s="75">
        <f>T56+S56</f>
        <v>13.573412698412698</v>
      </c>
      <c r="V56" s="7">
        <v>1079</v>
      </c>
      <c r="W56" s="7"/>
      <c r="X56" s="36">
        <f>X3/6</f>
        <v>71.212121212121204</v>
      </c>
      <c r="Y56" s="36">
        <f>Y3</f>
        <v>41.857142857142854</v>
      </c>
      <c r="Z56" s="36">
        <f>Z3*1.5</f>
        <v>5.625</v>
      </c>
      <c r="AA56" s="7">
        <f>AA2</f>
        <v>150</v>
      </c>
      <c r="AB56" s="36">
        <f t="shared" si="32"/>
        <v>28.504166666666666</v>
      </c>
      <c r="AC56" s="36"/>
      <c r="AD56" s="36"/>
      <c r="AE56" s="36">
        <f>AE3</f>
        <v>40</v>
      </c>
      <c r="AF56" s="36">
        <f>AF3</f>
        <v>32</v>
      </c>
      <c r="AG56" s="36">
        <f>AG3</f>
        <v>430</v>
      </c>
      <c r="AH56" s="41">
        <f t="shared" si="26"/>
        <v>1878.1984307359307</v>
      </c>
      <c r="AI56" s="41">
        <f t="shared" si="27"/>
        <v>1788.7604102246958</v>
      </c>
      <c r="AJ56" s="42">
        <f>AI56-Y3</f>
        <v>1746.9032673675529</v>
      </c>
      <c r="AK56" s="42">
        <f t="shared" si="28"/>
        <v>1972.1083522727274</v>
      </c>
      <c r="AL56" s="14">
        <f t="shared" si="29"/>
        <v>2066.0182738095241</v>
      </c>
      <c r="AM56" s="14">
        <f t="shared" si="30"/>
        <v>2159.9281953463201</v>
      </c>
      <c r="AN56" s="14">
        <f t="shared" si="31"/>
        <v>2347.7480384199134</v>
      </c>
    </row>
    <row r="57" spans="2:41" x14ac:dyDescent="0.25">
      <c r="B57" s="6" t="s">
        <v>332</v>
      </c>
      <c r="C57" s="8" t="s">
        <v>106</v>
      </c>
      <c r="D57" s="10"/>
      <c r="E57" s="7" t="s">
        <v>21</v>
      </c>
      <c r="F57" s="7" t="s">
        <v>31</v>
      </c>
      <c r="G57" s="7" t="s">
        <v>14</v>
      </c>
      <c r="H57" s="10" t="s">
        <v>107</v>
      </c>
      <c r="I57" s="46" t="s">
        <v>622</v>
      </c>
      <c r="J57" s="46" t="s">
        <v>439</v>
      </c>
      <c r="K57" s="7" t="s">
        <v>441</v>
      </c>
      <c r="L57" s="7" t="s">
        <v>108</v>
      </c>
      <c r="M57" s="7"/>
      <c r="N57" s="7">
        <v>21</v>
      </c>
      <c r="O57" s="7">
        <v>4</v>
      </c>
      <c r="P57" s="7">
        <v>6</v>
      </c>
      <c r="Q57" s="7">
        <f>N57*O57</f>
        <v>84</v>
      </c>
      <c r="R57" s="74">
        <f>U4</f>
        <v>689.28571428571422</v>
      </c>
      <c r="S57" s="74">
        <f t="shared" si="24"/>
        <v>8.2057823129251695</v>
      </c>
      <c r="T57" s="7">
        <v>4</v>
      </c>
      <c r="U57" s="75">
        <f t="shared" si="25"/>
        <v>12.205782312925169</v>
      </c>
      <c r="V57" s="7">
        <v>980</v>
      </c>
      <c r="W57" s="7"/>
      <c r="X57" s="36">
        <f>X3/6</f>
        <v>71.212121212121204</v>
      </c>
      <c r="Y57" s="36">
        <f>Y3</f>
        <v>41.857142857142854</v>
      </c>
      <c r="Z57" s="36">
        <f>Z3*1.5</f>
        <v>5.625</v>
      </c>
      <c r="AA57" s="7">
        <f>AA2</f>
        <v>150</v>
      </c>
      <c r="AB57" s="36">
        <f t="shared" si="32"/>
        <v>25.632142857142856</v>
      </c>
      <c r="AC57" s="36"/>
      <c r="AD57" s="36"/>
      <c r="AE57" s="36">
        <f>AE3</f>
        <v>40</v>
      </c>
      <c r="AF57" s="36">
        <f>AF3</f>
        <v>32</v>
      </c>
      <c r="AG57" s="36">
        <f>AG3</f>
        <v>430</v>
      </c>
      <c r="AH57" s="41">
        <f t="shared" si="26"/>
        <v>1776.3264069264069</v>
      </c>
      <c r="AI57" s="41">
        <f t="shared" si="27"/>
        <v>1691.7394351680066</v>
      </c>
      <c r="AJ57" s="42">
        <f>AI57-Y3</f>
        <v>1649.8822923108637</v>
      </c>
      <c r="AK57" s="42">
        <f t="shared" si="28"/>
        <v>1865.1427272727274</v>
      </c>
      <c r="AL57" s="14">
        <f t="shared" si="29"/>
        <v>1953.9590476190476</v>
      </c>
      <c r="AM57" s="14">
        <f t="shared" si="30"/>
        <v>2042.7753679653679</v>
      </c>
      <c r="AN57" s="14">
        <f t="shared" si="31"/>
        <v>2220.4080086580088</v>
      </c>
    </row>
    <row r="58" spans="2:41" x14ac:dyDescent="0.25">
      <c r="B58" s="2"/>
      <c r="C58" s="4"/>
      <c r="D58" s="5"/>
      <c r="E58" s="3"/>
      <c r="F58" s="3"/>
      <c r="G58" s="3"/>
      <c r="H58" s="5"/>
      <c r="I58" s="5"/>
      <c r="J58" s="1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5"/>
      <c r="Y58" s="35"/>
      <c r="Z58" s="35"/>
      <c r="AA58" s="3"/>
      <c r="AB58" s="35"/>
      <c r="AC58" s="35"/>
      <c r="AD58" s="35"/>
      <c r="AE58" s="35"/>
      <c r="AF58" s="3"/>
      <c r="AG58" s="35"/>
      <c r="AH58" s="42"/>
      <c r="AI58" s="42"/>
      <c r="AJ58" s="42"/>
      <c r="AK58" s="42"/>
      <c r="AL58" s="3"/>
      <c r="AM58" s="3"/>
      <c r="AN58" s="23"/>
    </row>
    <row r="59" spans="2:41" x14ac:dyDescent="0.25">
      <c r="B59" s="17" t="s">
        <v>109</v>
      </c>
      <c r="C59" s="18"/>
      <c r="D59" s="20"/>
      <c r="E59" s="19"/>
      <c r="F59" s="19"/>
      <c r="G59" s="19"/>
      <c r="H59" s="20"/>
      <c r="I59" s="20"/>
      <c r="J59" s="2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4"/>
      <c r="Z59" s="34"/>
      <c r="AA59" s="19"/>
      <c r="AB59" s="34"/>
      <c r="AC59" s="34"/>
      <c r="AD59" s="34"/>
      <c r="AE59" s="34"/>
      <c r="AF59" s="19"/>
      <c r="AG59" s="34"/>
      <c r="AH59" s="40"/>
      <c r="AI59" s="40"/>
      <c r="AJ59" s="40"/>
      <c r="AK59" s="40"/>
      <c r="AL59" s="19"/>
      <c r="AM59" s="19"/>
      <c r="AN59" s="19"/>
    </row>
    <row r="60" spans="2:41" x14ac:dyDescent="0.25">
      <c r="B60" s="6" t="s">
        <v>772</v>
      </c>
      <c r="C60" s="8" t="s">
        <v>793</v>
      </c>
      <c r="D60" s="10"/>
      <c r="E60" s="7" t="s">
        <v>798</v>
      </c>
      <c r="F60" s="7" t="s">
        <v>799</v>
      </c>
      <c r="G60" s="7" t="s">
        <v>14</v>
      </c>
      <c r="H60" s="10" t="s">
        <v>797</v>
      </c>
      <c r="I60" s="10" t="s">
        <v>800</v>
      </c>
      <c r="J60" s="46" t="s">
        <v>802</v>
      </c>
      <c r="K60" s="7" t="s">
        <v>803</v>
      </c>
      <c r="L60" s="7" t="s">
        <v>804</v>
      </c>
      <c r="M60" s="7"/>
      <c r="N60" s="7">
        <v>21</v>
      </c>
      <c r="O60" s="7">
        <v>3</v>
      </c>
      <c r="P60" s="7">
        <v>0</v>
      </c>
      <c r="Q60" s="7">
        <f>N60*O60</f>
        <v>63</v>
      </c>
      <c r="R60" s="74">
        <f>U4</f>
        <v>689.28571428571422</v>
      </c>
      <c r="S60" s="74">
        <f t="shared" ref="S60:S76" si="33">R60/Q60</f>
        <v>10.941043083900226</v>
      </c>
      <c r="T60" s="7">
        <v>4</v>
      </c>
      <c r="U60" s="75">
        <f t="shared" ref="U60:U76" si="34">T60+S60</f>
        <v>14.941043083900226</v>
      </c>
      <c r="V60" s="7">
        <v>1050</v>
      </c>
      <c r="W60" s="7"/>
      <c r="X60" s="36">
        <f>X3/6</f>
        <v>71.212121212121204</v>
      </c>
      <c r="Y60" s="36">
        <f>Y3</f>
        <v>41.857142857142854</v>
      </c>
      <c r="Z60" s="36">
        <f>Z3*1.5</f>
        <v>5.625</v>
      </c>
      <c r="AA60" s="7">
        <f>AA2</f>
        <v>150</v>
      </c>
      <c r="AB60" s="36">
        <f>U60*2.1</f>
        <v>31.376190476190477</v>
      </c>
      <c r="AC60" s="36"/>
      <c r="AD60" s="36">
        <f>AD2/5</f>
        <v>200</v>
      </c>
      <c r="AE60" s="36">
        <f>AE3</f>
        <v>40</v>
      </c>
      <c r="AF60" s="36">
        <f>AF3</f>
        <v>32</v>
      </c>
      <c r="AG60" s="36">
        <f>AG3</f>
        <v>430</v>
      </c>
      <c r="AH60" s="41">
        <f>V60+X60+Y60+Z60+AA60+AB60+AC60+AD60+AE60+AF60+AG60</f>
        <v>2052.0704545454546</v>
      </c>
      <c r="AI60" s="41">
        <f>AH60/1.05</f>
        <v>1954.3528138528138</v>
      </c>
      <c r="AJ60" s="42">
        <f>AI60-Y3</f>
        <v>1912.4956709956709</v>
      </c>
      <c r="AK60" s="42">
        <f>AH60*1.05</f>
        <v>2154.6739772727274</v>
      </c>
      <c r="AL60" s="14">
        <f>AH60*1.1</f>
        <v>2257.2775000000001</v>
      </c>
      <c r="AM60" s="14">
        <f>AH60*1.15</f>
        <v>2359.8810227272725</v>
      </c>
      <c r="AN60" s="14">
        <f>AH60*1.25</f>
        <v>2565.088068181818</v>
      </c>
    </row>
    <row r="61" spans="2:41" ht="14.25" customHeight="1" x14ac:dyDescent="0.25">
      <c r="B61" s="6" t="s">
        <v>333</v>
      </c>
      <c r="C61" s="8" t="s">
        <v>210</v>
      </c>
      <c r="D61" s="10">
        <v>72</v>
      </c>
      <c r="E61" s="7" t="s">
        <v>110</v>
      </c>
      <c r="F61" s="7" t="s">
        <v>111</v>
      </c>
      <c r="G61" s="7" t="s">
        <v>14</v>
      </c>
      <c r="H61" s="10" t="s">
        <v>112</v>
      </c>
      <c r="I61" s="46" t="s">
        <v>801</v>
      </c>
      <c r="J61" s="46" t="s">
        <v>632</v>
      </c>
      <c r="K61" s="7" t="s">
        <v>113</v>
      </c>
      <c r="L61" s="7" t="s">
        <v>114</v>
      </c>
      <c r="M61" s="7"/>
      <c r="N61" s="7">
        <v>21</v>
      </c>
      <c r="O61" s="7">
        <v>2</v>
      </c>
      <c r="P61" s="7">
        <v>10</v>
      </c>
      <c r="Q61" s="7">
        <f t="shared" ref="Q61:Q76" si="35">(N61*O61)+P61</f>
        <v>52</v>
      </c>
      <c r="R61" s="74">
        <f>U4</f>
        <v>689.28571428571422</v>
      </c>
      <c r="S61" s="74">
        <f t="shared" si="33"/>
        <v>13.255494505494504</v>
      </c>
      <c r="T61" s="7">
        <v>4</v>
      </c>
      <c r="U61" s="75">
        <f t="shared" si="34"/>
        <v>17.255494505494504</v>
      </c>
      <c r="V61" s="7">
        <v>1050</v>
      </c>
      <c r="W61" s="7"/>
      <c r="X61" s="36">
        <f>X3/2.5</f>
        <v>170.90909090909091</v>
      </c>
      <c r="Y61" s="36">
        <f>Y3</f>
        <v>41.857142857142854</v>
      </c>
      <c r="Z61" s="36">
        <f>Z3*1.5</f>
        <v>5.625</v>
      </c>
      <c r="AA61" s="7">
        <f>AA2*2.5</f>
        <v>375</v>
      </c>
      <c r="AB61" s="36">
        <f>(U61+U62+U63)*1.1</f>
        <v>44.028492935635796</v>
      </c>
      <c r="AC61" s="36"/>
      <c r="AD61" s="36">
        <v>167</v>
      </c>
      <c r="AE61" s="36">
        <f>AE3</f>
        <v>40</v>
      </c>
      <c r="AF61" s="36">
        <f>AF3</f>
        <v>32</v>
      </c>
      <c r="AG61" s="36">
        <f>AG3</f>
        <v>430</v>
      </c>
      <c r="AH61" s="41">
        <f>V61+X61+Y61+Z61+AA61+AB61+AC61+AD61+AE61+AF61+AG61</f>
        <v>2356.4197267018699</v>
      </c>
      <c r="AI61" s="41">
        <f>AH61/1.05</f>
        <v>2244.2092635255904</v>
      </c>
      <c r="AJ61" s="42">
        <f>AI61-Y3</f>
        <v>2202.3521206684477</v>
      </c>
      <c r="AK61" s="42">
        <f t="shared" ref="AK61:AK76" si="36">AH61*1.05</f>
        <v>2474.2407130369634</v>
      </c>
      <c r="AL61" s="14">
        <f>AH61*1.1</f>
        <v>2592.0616993720569</v>
      </c>
      <c r="AM61" s="14">
        <f t="shared" ref="AM61:AM76" si="37">AH61*1.15</f>
        <v>2709.8826857071504</v>
      </c>
      <c r="AN61" s="14">
        <f>AH61*1.25</f>
        <v>2945.5246583773373</v>
      </c>
    </row>
    <row r="62" spans="2:41" ht="14.25" customHeight="1" x14ac:dyDescent="0.25">
      <c r="B62" s="6"/>
      <c r="C62" s="8"/>
      <c r="D62" s="10"/>
      <c r="E62" s="7"/>
      <c r="F62" s="7"/>
      <c r="G62" s="7"/>
      <c r="H62" s="10"/>
      <c r="I62" s="46"/>
      <c r="J62" s="46"/>
      <c r="K62" s="7"/>
      <c r="L62" s="7"/>
      <c r="M62" s="7"/>
      <c r="N62" s="7">
        <v>21</v>
      </c>
      <c r="O62" s="7">
        <v>4</v>
      </c>
      <c r="P62" s="7">
        <v>0</v>
      </c>
      <c r="Q62" s="7">
        <f t="shared" si="35"/>
        <v>84</v>
      </c>
      <c r="R62" s="74">
        <f>U4</f>
        <v>689.28571428571422</v>
      </c>
      <c r="S62" s="74">
        <f t="shared" si="33"/>
        <v>8.2057823129251695</v>
      </c>
      <c r="T62" s="7">
        <v>4</v>
      </c>
      <c r="U62" s="75">
        <f t="shared" si="34"/>
        <v>12.205782312925169</v>
      </c>
      <c r="V62" s="7"/>
      <c r="W62" s="7"/>
      <c r="X62" s="36"/>
      <c r="Y62" s="36"/>
      <c r="Z62" s="36"/>
      <c r="AA62" s="7"/>
      <c r="AB62" s="36"/>
      <c r="AC62" s="36"/>
      <c r="AD62" s="36"/>
      <c r="AE62" s="36"/>
      <c r="AF62" s="36"/>
      <c r="AG62" s="36"/>
      <c r="AH62" s="41"/>
      <c r="AI62" s="41"/>
      <c r="AJ62" s="42"/>
      <c r="AK62" s="42" t="s">
        <v>177</v>
      </c>
      <c r="AL62" s="14"/>
      <c r="AM62" s="14" t="s">
        <v>177</v>
      </c>
      <c r="AN62" s="14"/>
    </row>
    <row r="63" spans="2:41" ht="14.25" customHeight="1" x14ac:dyDescent="0.25">
      <c r="B63" s="6"/>
      <c r="C63" s="8"/>
      <c r="D63" s="10"/>
      <c r="E63" s="7"/>
      <c r="F63" s="7"/>
      <c r="G63" s="7"/>
      <c r="H63" s="10"/>
      <c r="I63" s="46"/>
      <c r="J63" s="46"/>
      <c r="K63" s="7"/>
      <c r="L63" s="7"/>
      <c r="M63" s="7"/>
      <c r="N63" s="7">
        <v>21</v>
      </c>
      <c r="O63" s="7">
        <v>5</v>
      </c>
      <c r="P63" s="7">
        <v>0</v>
      </c>
      <c r="Q63" s="7">
        <f t="shared" si="35"/>
        <v>105</v>
      </c>
      <c r="R63" s="74">
        <f>U4</f>
        <v>689.28571428571422</v>
      </c>
      <c r="S63" s="74">
        <f t="shared" si="33"/>
        <v>6.5646258503401356</v>
      </c>
      <c r="T63" s="7">
        <v>4</v>
      </c>
      <c r="U63" s="75">
        <f t="shared" si="34"/>
        <v>10.564625850340136</v>
      </c>
      <c r="V63" s="7"/>
      <c r="W63" s="7"/>
      <c r="X63" s="36"/>
      <c r="Y63" s="36"/>
      <c r="Z63" s="36"/>
      <c r="AA63" s="7"/>
      <c r="AB63" s="36"/>
      <c r="AC63" s="36"/>
      <c r="AD63" s="36"/>
      <c r="AE63" s="36"/>
      <c r="AF63" s="36"/>
      <c r="AG63" s="36"/>
      <c r="AH63" s="41"/>
      <c r="AI63" s="41"/>
      <c r="AJ63" s="42"/>
      <c r="AK63" s="42" t="s">
        <v>177</v>
      </c>
      <c r="AL63" s="14"/>
      <c r="AM63" s="14" t="s">
        <v>177</v>
      </c>
      <c r="AN63" s="14"/>
    </row>
    <row r="64" spans="2:41" ht="14.25" customHeight="1" x14ac:dyDescent="0.25">
      <c r="B64" s="6" t="s">
        <v>334</v>
      </c>
      <c r="C64" s="8" t="s">
        <v>464</v>
      </c>
      <c r="D64" s="10">
        <v>60</v>
      </c>
      <c r="E64" s="7" t="s">
        <v>11</v>
      </c>
      <c r="F64" s="7" t="s">
        <v>25</v>
      </c>
      <c r="G64" s="7" t="s">
        <v>14</v>
      </c>
      <c r="H64" s="10" t="s">
        <v>115</v>
      </c>
      <c r="I64" s="46" t="s">
        <v>583</v>
      </c>
      <c r="J64" s="46" t="s">
        <v>284</v>
      </c>
      <c r="K64" s="7" t="s">
        <v>27</v>
      </c>
      <c r="L64" s="7" t="s">
        <v>28</v>
      </c>
      <c r="M64" s="7"/>
      <c r="N64" s="7">
        <v>21</v>
      </c>
      <c r="O64" s="7">
        <v>3</v>
      </c>
      <c r="P64" s="7">
        <v>6</v>
      </c>
      <c r="Q64" s="7">
        <f t="shared" si="35"/>
        <v>69</v>
      </c>
      <c r="R64" s="74">
        <f>U4</f>
        <v>689.28571428571422</v>
      </c>
      <c r="S64" s="74">
        <f t="shared" si="33"/>
        <v>9.9896480331262936</v>
      </c>
      <c r="T64" s="7">
        <v>4</v>
      </c>
      <c r="U64" s="75">
        <f t="shared" si="34"/>
        <v>13.989648033126294</v>
      </c>
      <c r="V64" s="7">
        <v>1016</v>
      </c>
      <c r="W64" s="7"/>
      <c r="X64" s="36">
        <f>X3/6</f>
        <v>71.212121212121204</v>
      </c>
      <c r="Y64" s="36">
        <f>Y3</f>
        <v>41.857142857142854</v>
      </c>
      <c r="Z64" s="36">
        <f>Z3*1.5</f>
        <v>5.625</v>
      </c>
      <c r="AA64" s="7">
        <f>AA2</f>
        <v>150</v>
      </c>
      <c r="AB64" s="36">
        <f>U64*2.1</f>
        <v>29.378260869565217</v>
      </c>
      <c r="AC64" s="36"/>
      <c r="AD64" s="36"/>
      <c r="AE64" s="36">
        <f>AE3</f>
        <v>40</v>
      </c>
      <c r="AF64" s="36">
        <f>AF3</f>
        <v>32</v>
      </c>
      <c r="AG64" s="36">
        <f>AG3</f>
        <v>430</v>
      </c>
      <c r="AH64" s="41">
        <f>V64+X64+Y64+Z64+AA64+AB64+AC64+AD64+AE64+AF64+AG64</f>
        <v>1816.0725249388292</v>
      </c>
      <c r="AI64" s="41">
        <f>AH64/1.05</f>
        <v>1729.592880894123</v>
      </c>
      <c r="AJ64" s="42">
        <f>AI64-Y3</f>
        <v>1687.7357380369801</v>
      </c>
      <c r="AK64" s="42">
        <f t="shared" si="36"/>
        <v>1906.8761511857708</v>
      </c>
      <c r="AL64" s="14">
        <f>AH64*1.1</f>
        <v>1997.6797774327124</v>
      </c>
      <c r="AM64" s="14">
        <f t="shared" si="37"/>
        <v>2088.4834036796533</v>
      </c>
      <c r="AN64" s="14">
        <f>AH64*1.25</f>
        <v>2270.0906561735364</v>
      </c>
    </row>
    <row r="65" spans="1:41" ht="14.25" customHeight="1" x14ac:dyDescent="0.25">
      <c r="A65" t="s">
        <v>177</v>
      </c>
      <c r="B65" s="6" t="s">
        <v>447</v>
      </c>
      <c r="C65" s="8" t="s">
        <v>448</v>
      </c>
      <c r="D65" s="10"/>
      <c r="E65" s="7" t="s">
        <v>20</v>
      </c>
      <c r="F65" s="7" t="s">
        <v>449</v>
      </c>
      <c r="G65" s="7" t="s">
        <v>10</v>
      </c>
      <c r="H65" s="10" t="s">
        <v>452</v>
      </c>
      <c r="I65" s="46" t="s">
        <v>633</v>
      </c>
      <c r="J65" s="46" t="s">
        <v>453</v>
      </c>
      <c r="K65" s="7" t="s">
        <v>450</v>
      </c>
      <c r="L65" s="7" t="s">
        <v>451</v>
      </c>
      <c r="M65" s="7"/>
      <c r="N65" s="7">
        <v>32</v>
      </c>
      <c r="O65" s="7">
        <v>1</v>
      </c>
      <c r="P65" s="7">
        <v>0</v>
      </c>
      <c r="Q65" s="7">
        <f t="shared" si="35"/>
        <v>32</v>
      </c>
      <c r="R65" s="74">
        <f>U4</f>
        <v>689.28571428571422</v>
      </c>
      <c r="S65" s="74">
        <f t="shared" si="33"/>
        <v>21.540178571428569</v>
      </c>
      <c r="T65" s="7">
        <v>4</v>
      </c>
      <c r="U65" s="75">
        <f t="shared" si="34"/>
        <v>25.540178571428569</v>
      </c>
      <c r="V65" s="7">
        <v>1100</v>
      </c>
      <c r="W65" s="7"/>
      <c r="X65" s="36">
        <f>X3/2.7</f>
        <v>158.24915824915823</v>
      </c>
      <c r="Y65" s="36">
        <f>Y3</f>
        <v>41.857142857142854</v>
      </c>
      <c r="Z65" s="36">
        <f>Z3*1.5</f>
        <v>5.625</v>
      </c>
      <c r="AA65" s="7">
        <f>AA2*2.5</f>
        <v>375</v>
      </c>
      <c r="AB65" s="36">
        <f>U65*2.1</f>
        <v>53.634374999999999</v>
      </c>
      <c r="AC65" s="36"/>
      <c r="AD65" s="36">
        <f>AD2/6</f>
        <v>166.66666666666666</v>
      </c>
      <c r="AE65" s="36">
        <f>AE3</f>
        <v>40</v>
      </c>
      <c r="AF65" s="36">
        <f>AF3</f>
        <v>32</v>
      </c>
      <c r="AG65" s="36">
        <f>AG3*1.4</f>
        <v>602</v>
      </c>
      <c r="AH65" s="41">
        <f>V65+X65+Y65+Z65+AA65+AB65+AC65+AD65+AE65+AF65+AG65</f>
        <v>2575.0323427729681</v>
      </c>
      <c r="AI65" s="41">
        <f>AH65/1.05</f>
        <v>2452.4117550218743</v>
      </c>
      <c r="AJ65" s="42">
        <f>AI65-Y3</f>
        <v>2410.5546121647317</v>
      </c>
      <c r="AK65" s="42">
        <f t="shared" si="36"/>
        <v>2703.7839599116169</v>
      </c>
      <c r="AL65" s="14">
        <f>AH65*1.1</f>
        <v>2832.5355770502651</v>
      </c>
      <c r="AM65" s="14">
        <f t="shared" si="37"/>
        <v>2961.287194188913</v>
      </c>
      <c r="AN65" s="14">
        <f>AH65*1.25</f>
        <v>3218.79042846621</v>
      </c>
    </row>
    <row r="66" spans="1:41" x14ac:dyDescent="0.25">
      <c r="B66" s="6" t="s">
        <v>335</v>
      </c>
      <c r="C66" s="8" t="s">
        <v>211</v>
      </c>
      <c r="D66" s="10"/>
      <c r="E66" s="7" t="s">
        <v>21</v>
      </c>
      <c r="F66" s="7" t="s">
        <v>22</v>
      </c>
      <c r="G66" s="7" t="s">
        <v>14</v>
      </c>
      <c r="H66" s="10" t="s">
        <v>116</v>
      </c>
      <c r="I66" s="46" t="s">
        <v>634</v>
      </c>
      <c r="J66" s="46" t="s">
        <v>580</v>
      </c>
      <c r="K66" s="7" t="s">
        <v>23</v>
      </c>
      <c r="L66" s="7" t="s">
        <v>24</v>
      </c>
      <c r="M66" s="7"/>
      <c r="N66" s="7">
        <v>21</v>
      </c>
      <c r="O66" s="7">
        <v>4</v>
      </c>
      <c r="P66" s="7">
        <v>9</v>
      </c>
      <c r="Q66" s="7">
        <f t="shared" si="35"/>
        <v>93</v>
      </c>
      <c r="R66" s="74">
        <f>U4</f>
        <v>689.28571428571422</v>
      </c>
      <c r="S66" s="74">
        <f t="shared" si="33"/>
        <v>7.4116743471582174</v>
      </c>
      <c r="T66" s="7">
        <v>4</v>
      </c>
      <c r="U66" s="75">
        <f t="shared" si="34"/>
        <v>11.411674347158218</v>
      </c>
      <c r="V66" s="7">
        <v>980</v>
      </c>
      <c r="W66" s="7"/>
      <c r="X66" s="36">
        <f>X3/6</f>
        <v>71.212121212121204</v>
      </c>
      <c r="Y66" s="36">
        <f>Y3</f>
        <v>41.857142857142854</v>
      </c>
      <c r="Z66" s="36">
        <f>Z3*1.5</f>
        <v>5.625</v>
      </c>
      <c r="AA66" s="7">
        <f>AA2</f>
        <v>150</v>
      </c>
      <c r="AB66" s="36">
        <f>U66*2.1</f>
        <v>23.964516129032258</v>
      </c>
      <c r="AC66" s="36"/>
      <c r="AD66" s="36"/>
      <c r="AE66" s="36">
        <f>AE3</f>
        <v>40</v>
      </c>
      <c r="AF66" s="36">
        <f>AF3</f>
        <v>32</v>
      </c>
      <c r="AG66" s="36">
        <f>AG3</f>
        <v>430</v>
      </c>
      <c r="AH66" s="41">
        <f>V66+X66+Y66+Z66+AA66+AB66+AC66+AD66+AE66+AF66+AG66</f>
        <v>1774.6587801982964</v>
      </c>
      <c r="AI66" s="41">
        <f>AH66/1.05</f>
        <v>1690.1512192364728</v>
      </c>
      <c r="AJ66" s="42">
        <f>AI66-Y3</f>
        <v>1648.2940763793299</v>
      </c>
      <c r="AK66" s="42">
        <f t="shared" si="36"/>
        <v>1863.3917192082113</v>
      </c>
      <c r="AL66" s="14">
        <f>AH66*1.1</f>
        <v>1952.1246582181261</v>
      </c>
      <c r="AM66" s="14">
        <f t="shared" si="37"/>
        <v>2040.8575972280407</v>
      </c>
      <c r="AN66" s="14">
        <f>AH66*1.25</f>
        <v>2218.3234752478706</v>
      </c>
    </row>
    <row r="67" spans="1:41" x14ac:dyDescent="0.25">
      <c r="B67" s="6" t="s">
        <v>769</v>
      </c>
      <c r="C67" s="8">
        <v>407</v>
      </c>
      <c r="D67" s="10"/>
      <c r="E67" s="7" t="s">
        <v>794</v>
      </c>
      <c r="F67" s="7" t="s">
        <v>795</v>
      </c>
      <c r="G67" s="7" t="s">
        <v>266</v>
      </c>
      <c r="H67" s="10" t="s">
        <v>796</v>
      </c>
      <c r="I67" s="46" t="s">
        <v>805</v>
      </c>
      <c r="J67" s="46" t="s">
        <v>806</v>
      </c>
      <c r="K67" s="7" t="s">
        <v>807</v>
      </c>
      <c r="L67" s="7" t="s">
        <v>808</v>
      </c>
      <c r="M67" s="7"/>
      <c r="N67" s="7">
        <v>15</v>
      </c>
      <c r="O67" s="7">
        <v>3</v>
      </c>
      <c r="P67" s="7">
        <v>0</v>
      </c>
      <c r="Q67" s="7">
        <f t="shared" si="35"/>
        <v>45</v>
      </c>
      <c r="R67" s="74">
        <f>U4</f>
        <v>689.28571428571422</v>
      </c>
      <c r="S67" s="74">
        <f t="shared" si="33"/>
        <v>15.317460317460316</v>
      </c>
      <c r="T67" s="7">
        <v>4</v>
      </c>
      <c r="U67" s="75">
        <f t="shared" si="34"/>
        <v>19.317460317460316</v>
      </c>
      <c r="V67" s="7">
        <v>1050</v>
      </c>
      <c r="W67" s="7"/>
      <c r="X67" s="36">
        <f>X3/6</f>
        <v>71.212121212121204</v>
      </c>
      <c r="Y67" s="36">
        <f>Y3</f>
        <v>41.857142857142854</v>
      </c>
      <c r="Z67" s="36">
        <f>Z3*1.5</f>
        <v>5.625</v>
      </c>
      <c r="AA67" s="7">
        <f>AA2</f>
        <v>150</v>
      </c>
      <c r="AB67" s="36">
        <f>U67*2.1</f>
        <v>40.566666666666663</v>
      </c>
      <c r="AC67" s="36"/>
      <c r="AD67" s="36"/>
      <c r="AE67" s="36">
        <f>AE3</f>
        <v>40</v>
      </c>
      <c r="AF67" s="36">
        <f>AF3</f>
        <v>32</v>
      </c>
      <c r="AG67" s="36">
        <f>AG3</f>
        <v>430</v>
      </c>
      <c r="AH67" s="41">
        <f>V67+X67+Y67+Z67+AA67+AB67+AC67+AD67+AE67+AF67+AG67</f>
        <v>1861.2609307359307</v>
      </c>
      <c r="AI67" s="41">
        <f>AH67/1.05</f>
        <v>1772.6294578437435</v>
      </c>
      <c r="AJ67" s="35">
        <f>AI67-Y3</f>
        <v>1730.7723149866006</v>
      </c>
      <c r="AK67" s="42">
        <f t="shared" si="36"/>
        <v>1954.3239772727275</v>
      </c>
      <c r="AL67" s="14">
        <f>AH67*1.1</f>
        <v>2047.387023809524</v>
      </c>
      <c r="AM67" s="14">
        <f t="shared" si="37"/>
        <v>2140.45007034632</v>
      </c>
      <c r="AN67" s="14">
        <f>AH67*1.25</f>
        <v>2326.5761634199134</v>
      </c>
    </row>
    <row r="68" spans="1:41" x14ac:dyDescent="0.25">
      <c r="B68" s="6" t="s">
        <v>336</v>
      </c>
      <c r="C68" s="8" t="s">
        <v>212</v>
      </c>
      <c r="D68" s="10">
        <v>52</v>
      </c>
      <c r="E68" s="7" t="s">
        <v>36</v>
      </c>
      <c r="F68" s="7" t="s">
        <v>37</v>
      </c>
      <c r="G68" s="7" t="s">
        <v>14</v>
      </c>
      <c r="H68" s="10" t="s">
        <v>117</v>
      </c>
      <c r="I68" s="46" t="s">
        <v>585</v>
      </c>
      <c r="J68" s="46" t="s">
        <v>287</v>
      </c>
      <c r="K68" s="7" t="s">
        <v>286</v>
      </c>
      <c r="L68" s="7" t="s">
        <v>38</v>
      </c>
      <c r="M68" s="7"/>
      <c r="N68" s="7">
        <v>21</v>
      </c>
      <c r="O68" s="7">
        <v>5</v>
      </c>
      <c r="P68" s="7">
        <v>0</v>
      </c>
      <c r="Q68" s="7">
        <f t="shared" si="35"/>
        <v>105</v>
      </c>
      <c r="R68" s="74">
        <f>U4</f>
        <v>689.28571428571422</v>
      </c>
      <c r="S68" s="74">
        <f t="shared" si="33"/>
        <v>6.5646258503401356</v>
      </c>
      <c r="T68" s="7">
        <v>4</v>
      </c>
      <c r="U68" s="75">
        <f t="shared" si="34"/>
        <v>10.564625850340136</v>
      </c>
      <c r="V68" s="7">
        <v>1277</v>
      </c>
      <c r="W68" s="7"/>
      <c r="X68" s="36">
        <f>X3/3</f>
        <v>142.42424242424241</v>
      </c>
      <c r="Y68" s="36">
        <f>Y3</f>
        <v>41.857142857142854</v>
      </c>
      <c r="Z68" s="36">
        <f>Z3*1.5</f>
        <v>5.625</v>
      </c>
      <c r="AA68" s="7">
        <f>AA2*2</f>
        <v>300</v>
      </c>
      <c r="AB68" s="36">
        <f>(U68+U69)*2.1</f>
        <v>42.073809523809523</v>
      </c>
      <c r="AC68" s="36"/>
      <c r="AD68" s="36"/>
      <c r="AE68" s="36">
        <f>AE3</f>
        <v>40</v>
      </c>
      <c r="AF68" s="36">
        <f>AF3</f>
        <v>32</v>
      </c>
      <c r="AG68" s="36">
        <f>AG3</f>
        <v>430</v>
      </c>
      <c r="AH68" s="41">
        <f>V68+X68+Y68+Z68+AA68+AB68+AC68+AD68+AE68+AF68+AG68</f>
        <v>2310.980194805195</v>
      </c>
      <c r="AI68" s="41">
        <f>AH68/1.05</f>
        <v>2200.9335188620903</v>
      </c>
      <c r="AJ68" s="42">
        <f>AI68-Y3</f>
        <v>2159.0763760049476</v>
      </c>
      <c r="AK68" s="42">
        <f t="shared" si="36"/>
        <v>2426.5292045454548</v>
      </c>
      <c r="AL68" s="14">
        <f>AH68*1.1</f>
        <v>2542.0782142857147</v>
      </c>
      <c r="AM68" s="14">
        <f t="shared" si="37"/>
        <v>2657.6272240259741</v>
      </c>
      <c r="AN68" s="14">
        <f>AH68*1.25</f>
        <v>2888.7252435064938</v>
      </c>
    </row>
    <row r="69" spans="1:41" x14ac:dyDescent="0.25">
      <c r="B69" s="6" t="s">
        <v>177</v>
      </c>
      <c r="C69" s="8"/>
      <c r="D69" s="10"/>
      <c r="E69" s="7" t="s">
        <v>39</v>
      </c>
      <c r="F69" s="7" t="s">
        <v>37</v>
      </c>
      <c r="G69" s="7" t="s">
        <v>14</v>
      </c>
      <c r="H69" s="10"/>
      <c r="I69" s="46"/>
      <c r="J69" s="46"/>
      <c r="K69" s="7"/>
      <c r="L69" s="7"/>
      <c r="M69" s="7"/>
      <c r="N69" s="7">
        <v>21</v>
      </c>
      <c r="O69" s="7">
        <v>6</v>
      </c>
      <c r="P69" s="7">
        <v>0</v>
      </c>
      <c r="Q69" s="7">
        <f t="shared" si="35"/>
        <v>126</v>
      </c>
      <c r="R69" s="74">
        <f>U4</f>
        <v>689.28571428571422</v>
      </c>
      <c r="S69" s="74">
        <f t="shared" si="33"/>
        <v>5.470521541950113</v>
      </c>
      <c r="T69" s="7">
        <v>4</v>
      </c>
      <c r="U69" s="75">
        <f t="shared" si="34"/>
        <v>9.470521541950113</v>
      </c>
      <c r="V69" s="7"/>
      <c r="W69" s="7"/>
      <c r="X69" s="36"/>
      <c r="Y69" s="36"/>
      <c r="Z69" s="36" t="s">
        <v>177</v>
      </c>
      <c r="AA69" s="7"/>
      <c r="AB69" s="36"/>
      <c r="AC69" s="36"/>
      <c r="AD69" s="36"/>
      <c r="AE69" s="36" t="s">
        <v>177</v>
      </c>
      <c r="AF69" s="7" t="s">
        <v>177</v>
      </c>
      <c r="AG69" s="36" t="s">
        <v>177</v>
      </c>
      <c r="AH69" s="41" t="s">
        <v>177</v>
      </c>
      <c r="AI69" s="41" t="s">
        <v>177</v>
      </c>
      <c r="AJ69" s="42" t="s">
        <v>177</v>
      </c>
      <c r="AK69" s="42" t="s">
        <v>177</v>
      </c>
      <c r="AL69" s="14" t="s">
        <v>177</v>
      </c>
      <c r="AM69" s="14" t="s">
        <v>177</v>
      </c>
      <c r="AN69" s="14"/>
    </row>
    <row r="70" spans="1:41" x14ac:dyDescent="0.25">
      <c r="B70" s="6" t="s">
        <v>337</v>
      </c>
      <c r="C70" s="8" t="s">
        <v>258</v>
      </c>
      <c r="D70" s="10">
        <v>45</v>
      </c>
      <c r="E70" s="7" t="s">
        <v>259</v>
      </c>
      <c r="F70" s="7" t="s">
        <v>260</v>
      </c>
      <c r="G70" s="7" t="s">
        <v>261</v>
      </c>
      <c r="H70" s="10"/>
      <c r="I70" s="46"/>
      <c r="J70" s="46" t="s">
        <v>636</v>
      </c>
      <c r="K70" s="7" t="s">
        <v>638</v>
      </c>
      <c r="L70" s="7" t="s">
        <v>637</v>
      </c>
      <c r="M70" s="7"/>
      <c r="N70" s="7">
        <v>18</v>
      </c>
      <c r="O70" s="7">
        <v>2</v>
      </c>
      <c r="P70" s="7">
        <v>7</v>
      </c>
      <c r="Q70" s="7">
        <f t="shared" si="35"/>
        <v>43</v>
      </c>
      <c r="R70" s="74">
        <f>U4</f>
        <v>689.28571428571422</v>
      </c>
      <c r="S70" s="74">
        <f t="shared" si="33"/>
        <v>16.02990033222591</v>
      </c>
      <c r="T70" s="7">
        <v>4</v>
      </c>
      <c r="U70" s="75">
        <f t="shared" si="34"/>
        <v>20.02990033222591</v>
      </c>
      <c r="V70" s="7">
        <v>1334</v>
      </c>
      <c r="W70" s="7"/>
      <c r="X70" s="36">
        <f>X3/2.5</f>
        <v>170.90909090909091</v>
      </c>
      <c r="Y70" s="36">
        <f>Y3</f>
        <v>41.857142857142854</v>
      </c>
      <c r="Z70" s="36">
        <f>Z3*1.5</f>
        <v>5.625</v>
      </c>
      <c r="AA70" s="7">
        <f>AA2</f>
        <v>150</v>
      </c>
      <c r="AB70" s="36">
        <f>U70*2.1</f>
        <v>42.062790697674416</v>
      </c>
      <c r="AC70" s="36"/>
      <c r="AD70" s="36"/>
      <c r="AE70" s="36">
        <f>AE3</f>
        <v>40</v>
      </c>
      <c r="AF70" s="36">
        <f>AF3</f>
        <v>32</v>
      </c>
      <c r="AG70" s="36">
        <f>AG3</f>
        <v>430</v>
      </c>
      <c r="AH70" s="41">
        <f t="shared" ref="AH70:AH76" si="38">V70+X70+Y70+Z70+AA70+AB70+AC70+AD70+AE70+AF70+AG70</f>
        <v>2246.4540244639084</v>
      </c>
      <c r="AI70" s="41">
        <f t="shared" ref="AI70:AI76" si="39">AH70/1.05</f>
        <v>2139.4800232989601</v>
      </c>
      <c r="AJ70" s="42">
        <f>AI70-Y3</f>
        <v>2097.6228804418174</v>
      </c>
      <c r="AK70" s="42">
        <f t="shared" si="36"/>
        <v>2358.7767256871039</v>
      </c>
      <c r="AL70" s="14">
        <f t="shared" ref="AL70:AL76" si="40">AH70*1.1</f>
        <v>2471.0994269102994</v>
      </c>
      <c r="AM70" s="14">
        <f t="shared" si="37"/>
        <v>2583.4221281334944</v>
      </c>
      <c r="AN70" s="14">
        <f t="shared" ref="AN70:AN76" si="41">AH70*1.25</f>
        <v>2808.0675305798854</v>
      </c>
    </row>
    <row r="71" spans="1:41" ht="30" x14ac:dyDescent="0.25">
      <c r="B71" s="6" t="s">
        <v>338</v>
      </c>
      <c r="C71" s="8" t="s">
        <v>185</v>
      </c>
      <c r="D71" s="10"/>
      <c r="E71" s="7" t="s">
        <v>181</v>
      </c>
      <c r="F71" s="7" t="s">
        <v>182</v>
      </c>
      <c r="G71" s="7" t="s">
        <v>14</v>
      </c>
      <c r="H71" s="10" t="s">
        <v>183</v>
      </c>
      <c r="I71" s="46" t="s">
        <v>639</v>
      </c>
      <c r="J71" s="46" t="s">
        <v>640</v>
      </c>
      <c r="K71" s="7" t="s">
        <v>641</v>
      </c>
      <c r="L71" s="7" t="s">
        <v>184</v>
      </c>
      <c r="M71" s="7"/>
      <c r="N71" s="7">
        <v>21</v>
      </c>
      <c r="O71" s="7">
        <v>3</v>
      </c>
      <c r="P71" s="7">
        <v>2</v>
      </c>
      <c r="Q71" s="7">
        <f t="shared" si="35"/>
        <v>65</v>
      </c>
      <c r="R71" s="74">
        <f>U4</f>
        <v>689.28571428571422</v>
      </c>
      <c r="S71" s="74">
        <f t="shared" si="33"/>
        <v>10.604395604395604</v>
      </c>
      <c r="T71" s="7">
        <v>4</v>
      </c>
      <c r="U71" s="75">
        <f t="shared" si="34"/>
        <v>14.604395604395604</v>
      </c>
      <c r="V71" s="7">
        <v>1390</v>
      </c>
      <c r="W71" s="7"/>
      <c r="X71" s="36">
        <f>X3/3</f>
        <v>142.42424242424241</v>
      </c>
      <c r="Y71" s="36">
        <f>Y3</f>
        <v>41.857142857142854</v>
      </c>
      <c r="Z71" s="36">
        <f>Z3*1.5</f>
        <v>5.625</v>
      </c>
      <c r="AA71" s="7">
        <f>AA2*2</f>
        <v>300</v>
      </c>
      <c r="AB71" s="36">
        <f>U71*4.2</f>
        <v>61.338461538461537</v>
      </c>
      <c r="AC71" s="36"/>
      <c r="AD71" s="36"/>
      <c r="AE71" s="36">
        <f>AE3</f>
        <v>40</v>
      </c>
      <c r="AF71" s="36">
        <f>AF3</f>
        <v>32</v>
      </c>
      <c r="AG71" s="36">
        <f>AG3</f>
        <v>430</v>
      </c>
      <c r="AH71" s="41">
        <f t="shared" si="38"/>
        <v>2443.2448468198472</v>
      </c>
      <c r="AI71" s="41">
        <f t="shared" si="39"/>
        <v>2326.89985411414</v>
      </c>
      <c r="AJ71" s="42">
        <f>AI71-Y3</f>
        <v>2285.0427112569973</v>
      </c>
      <c r="AK71" s="42">
        <f t="shared" si="36"/>
        <v>2565.4070891608399</v>
      </c>
      <c r="AL71" s="14">
        <f t="shared" si="40"/>
        <v>2687.569331501832</v>
      </c>
      <c r="AM71" s="14">
        <f t="shared" si="37"/>
        <v>2809.7315738428242</v>
      </c>
      <c r="AN71" s="14">
        <f t="shared" si="41"/>
        <v>3054.056058524809</v>
      </c>
    </row>
    <row r="72" spans="1:41" ht="30" x14ac:dyDescent="0.25">
      <c r="B72" s="6" t="s">
        <v>773</v>
      </c>
      <c r="C72" s="8" t="s">
        <v>774</v>
      </c>
      <c r="D72" s="10"/>
      <c r="E72" s="7" t="s">
        <v>467</v>
      </c>
      <c r="F72" s="7" t="s">
        <v>401</v>
      </c>
      <c r="G72" s="7" t="s">
        <v>500</v>
      </c>
      <c r="H72" s="10" t="s">
        <v>775</v>
      </c>
      <c r="I72" s="46" t="s">
        <v>776</v>
      </c>
      <c r="J72" s="46" t="s">
        <v>777</v>
      </c>
      <c r="K72" s="7" t="s">
        <v>778</v>
      </c>
      <c r="L72" s="7" t="s">
        <v>779</v>
      </c>
      <c r="M72" s="7"/>
      <c r="N72" s="7">
        <v>25</v>
      </c>
      <c r="O72" s="7">
        <v>4</v>
      </c>
      <c r="P72" s="7">
        <v>0</v>
      </c>
      <c r="Q72" s="7">
        <f t="shared" si="35"/>
        <v>100</v>
      </c>
      <c r="R72" s="74">
        <f>U4</f>
        <v>689.28571428571422</v>
      </c>
      <c r="S72" s="74">
        <f t="shared" si="33"/>
        <v>6.8928571428571423</v>
      </c>
      <c r="T72" s="7">
        <v>4</v>
      </c>
      <c r="U72" s="75">
        <f t="shared" si="34"/>
        <v>10.892857142857142</v>
      </c>
      <c r="V72" s="7">
        <v>1250</v>
      </c>
      <c r="W72" s="7"/>
      <c r="X72" s="36">
        <f>X3/6</f>
        <v>71.212121212121204</v>
      </c>
      <c r="Y72" s="36">
        <f>Y3</f>
        <v>41.857142857142854</v>
      </c>
      <c r="Z72" s="36">
        <f>Z3*1.5</f>
        <v>5.625</v>
      </c>
      <c r="AA72" s="7">
        <f>AA2</f>
        <v>150</v>
      </c>
      <c r="AB72" s="36">
        <f>U72*2.1</f>
        <v>22.875</v>
      </c>
      <c r="AC72" s="36"/>
      <c r="AD72" s="36">
        <f>AD2/10</f>
        <v>100</v>
      </c>
      <c r="AE72" s="36">
        <f>AE3</f>
        <v>40</v>
      </c>
      <c r="AF72" s="36">
        <f>AF3</f>
        <v>32</v>
      </c>
      <c r="AG72" s="36">
        <f>AG3</f>
        <v>430</v>
      </c>
      <c r="AH72" s="41">
        <f t="shared" si="38"/>
        <v>2143.5692640692641</v>
      </c>
      <c r="AI72" s="41">
        <f t="shared" si="39"/>
        <v>2041.494537208823</v>
      </c>
      <c r="AJ72" s="42">
        <f>AI72-Y3</f>
        <v>1999.6373943516801</v>
      </c>
      <c r="AK72" s="42">
        <f t="shared" si="36"/>
        <v>2250.7477272727274</v>
      </c>
      <c r="AL72" s="14">
        <f t="shared" si="40"/>
        <v>2357.9261904761906</v>
      </c>
      <c r="AM72" s="14">
        <f t="shared" si="37"/>
        <v>2465.1046536796534</v>
      </c>
      <c r="AN72" s="14">
        <f t="shared" si="41"/>
        <v>2679.4615800865804</v>
      </c>
    </row>
    <row r="73" spans="1:41" x14ac:dyDescent="0.25">
      <c r="B73" s="6" t="s">
        <v>339</v>
      </c>
      <c r="C73" s="8" t="s">
        <v>118</v>
      </c>
      <c r="D73" s="10"/>
      <c r="E73" s="7" t="s">
        <v>9</v>
      </c>
      <c r="F73" s="7" t="s">
        <v>119</v>
      </c>
      <c r="G73" s="7" t="s">
        <v>46</v>
      </c>
      <c r="H73" s="10" t="s">
        <v>120</v>
      </c>
      <c r="I73" s="46" t="s">
        <v>635</v>
      </c>
      <c r="J73" s="46" t="s">
        <v>642</v>
      </c>
      <c r="K73" s="7"/>
      <c r="L73" s="7" t="s">
        <v>643</v>
      </c>
      <c r="M73" s="7"/>
      <c r="N73" s="7">
        <v>35</v>
      </c>
      <c r="O73" s="7">
        <v>5</v>
      </c>
      <c r="P73" s="7">
        <v>0</v>
      </c>
      <c r="Q73" s="7">
        <f t="shared" si="35"/>
        <v>175</v>
      </c>
      <c r="R73" s="74">
        <f>U4</f>
        <v>689.28571428571422</v>
      </c>
      <c r="S73" s="74">
        <f t="shared" si="33"/>
        <v>3.9387755102040813</v>
      </c>
      <c r="T73" s="7">
        <v>4</v>
      </c>
      <c r="U73" s="75">
        <f t="shared" si="34"/>
        <v>7.9387755102040813</v>
      </c>
      <c r="V73" s="7">
        <v>738</v>
      </c>
      <c r="W73" s="7"/>
      <c r="X73" s="36">
        <f>X3/6</f>
        <v>71.212121212121204</v>
      </c>
      <c r="Y73" s="36">
        <f>Y3</f>
        <v>41.857142857142854</v>
      </c>
      <c r="Z73" s="36">
        <f>Z3*1.5</f>
        <v>5.625</v>
      </c>
      <c r="AA73" s="7">
        <f>AA2</f>
        <v>150</v>
      </c>
      <c r="AB73" s="36">
        <f>U73*2.1</f>
        <v>16.671428571428571</v>
      </c>
      <c r="AC73" s="36"/>
      <c r="AD73" s="36"/>
      <c r="AE73" s="36">
        <f>AE3</f>
        <v>40</v>
      </c>
      <c r="AF73" s="36">
        <f>AF3</f>
        <v>32</v>
      </c>
      <c r="AG73" s="36">
        <f>AG3</f>
        <v>430</v>
      </c>
      <c r="AH73" s="41">
        <f t="shared" si="38"/>
        <v>1525.3656926406927</v>
      </c>
      <c r="AI73" s="41">
        <f t="shared" si="39"/>
        <v>1452.7292310863741</v>
      </c>
      <c r="AJ73" s="42">
        <f>AI73-Y3</f>
        <v>1410.8720882292312</v>
      </c>
      <c r="AK73" s="42">
        <f t="shared" si="36"/>
        <v>1601.6339772727274</v>
      </c>
      <c r="AL73" s="14">
        <f t="shared" si="40"/>
        <v>1677.9022619047621</v>
      </c>
      <c r="AM73" s="14">
        <f t="shared" si="37"/>
        <v>1754.1705465367966</v>
      </c>
      <c r="AN73" s="14">
        <f t="shared" si="41"/>
        <v>1906.7071158008659</v>
      </c>
    </row>
    <row r="74" spans="1:41" x14ac:dyDescent="0.25">
      <c r="B74" s="6" t="s">
        <v>826</v>
      </c>
      <c r="C74" s="8" t="s">
        <v>827</v>
      </c>
      <c r="D74" s="10"/>
      <c r="E74" s="7" t="s">
        <v>829</v>
      </c>
      <c r="F74" s="7" t="s">
        <v>750</v>
      </c>
      <c r="G74" s="7" t="s">
        <v>14</v>
      </c>
      <c r="H74" s="10">
        <v>9846155280</v>
      </c>
      <c r="I74" s="46" t="s">
        <v>828</v>
      </c>
      <c r="J74" s="46" t="s">
        <v>830</v>
      </c>
      <c r="K74" s="7"/>
      <c r="L74" s="7" t="s">
        <v>831</v>
      </c>
      <c r="M74" s="7"/>
      <c r="N74" s="7">
        <v>21</v>
      </c>
      <c r="O74" s="7">
        <v>4</v>
      </c>
      <c r="P74" s="7">
        <v>0</v>
      </c>
      <c r="Q74" s="7">
        <f t="shared" si="35"/>
        <v>84</v>
      </c>
      <c r="R74" s="74">
        <f>U4</f>
        <v>689.28571428571422</v>
      </c>
      <c r="S74" s="74">
        <f t="shared" si="33"/>
        <v>8.2057823129251695</v>
      </c>
      <c r="T74" s="7">
        <v>4</v>
      </c>
      <c r="U74" s="75">
        <f t="shared" si="34"/>
        <v>12.205782312925169</v>
      </c>
      <c r="V74" s="7">
        <v>1300</v>
      </c>
      <c r="W74" s="7"/>
      <c r="X74" s="36">
        <f>X3/6</f>
        <v>71.212121212121204</v>
      </c>
      <c r="Y74" s="36">
        <f>Y3</f>
        <v>41.857142857142854</v>
      </c>
      <c r="Z74" s="36">
        <f>Z3*1.5</f>
        <v>5.625</v>
      </c>
      <c r="AA74" s="7">
        <f>AA2*2</f>
        <v>300</v>
      </c>
      <c r="AB74" s="36">
        <f>U74*4.2</f>
        <v>51.264285714285712</v>
      </c>
      <c r="AC74" s="36"/>
      <c r="AD74" s="36"/>
      <c r="AE74" s="36">
        <f>AE3</f>
        <v>40</v>
      </c>
      <c r="AF74" s="36">
        <f>AF3</f>
        <v>32</v>
      </c>
      <c r="AG74" s="36">
        <f>AG3</f>
        <v>430</v>
      </c>
      <c r="AH74" s="41">
        <f t="shared" si="38"/>
        <v>2271.9585497835496</v>
      </c>
      <c r="AI74" s="41">
        <f t="shared" si="39"/>
        <v>2163.7700474129042</v>
      </c>
      <c r="AJ74" s="42">
        <f>AI74-Y3</f>
        <v>2121.9129045557615</v>
      </c>
      <c r="AK74" s="42">
        <f t="shared" si="36"/>
        <v>2385.5564772727271</v>
      </c>
      <c r="AL74" s="14">
        <f t="shared" si="40"/>
        <v>2499.154404761905</v>
      </c>
      <c r="AM74" s="14">
        <f t="shared" si="37"/>
        <v>2612.752332251082</v>
      </c>
      <c r="AN74" s="14">
        <f t="shared" si="41"/>
        <v>2839.9481872294373</v>
      </c>
    </row>
    <row r="75" spans="1:41" x14ac:dyDescent="0.25">
      <c r="B75" s="6" t="s">
        <v>301</v>
      </c>
      <c r="C75" s="8" t="s">
        <v>193</v>
      </c>
      <c r="D75" s="10">
        <v>78</v>
      </c>
      <c r="E75" s="7" t="s">
        <v>413</v>
      </c>
      <c r="F75" s="7" t="s">
        <v>279</v>
      </c>
      <c r="G75" s="7" t="s">
        <v>14</v>
      </c>
      <c r="H75" s="10">
        <v>9833350880</v>
      </c>
      <c r="I75" s="46" t="s">
        <v>601</v>
      </c>
      <c r="J75" s="46" t="s">
        <v>280</v>
      </c>
      <c r="K75" s="7"/>
      <c r="L75" s="7" t="s">
        <v>281</v>
      </c>
      <c r="M75" s="7"/>
      <c r="N75" s="7">
        <v>21</v>
      </c>
      <c r="O75" s="7">
        <v>3</v>
      </c>
      <c r="P75" s="7">
        <v>10</v>
      </c>
      <c r="Q75" s="7">
        <f t="shared" si="35"/>
        <v>73</v>
      </c>
      <c r="R75" s="74">
        <f>U4</f>
        <v>689.28571428571422</v>
      </c>
      <c r="S75" s="74">
        <f t="shared" si="33"/>
        <v>9.4422700587084147</v>
      </c>
      <c r="T75" s="7">
        <v>4</v>
      </c>
      <c r="U75" s="75">
        <f t="shared" si="34"/>
        <v>13.442270058708415</v>
      </c>
      <c r="V75" s="7">
        <v>1164</v>
      </c>
      <c r="W75" s="7"/>
      <c r="X75" s="36">
        <f>X3/3</f>
        <v>142.42424242424241</v>
      </c>
      <c r="Y75" s="36">
        <f>Y3</f>
        <v>41.857142857142854</v>
      </c>
      <c r="Z75" s="36">
        <f>Z3*1.5</f>
        <v>5.625</v>
      </c>
      <c r="AA75" s="7">
        <f>AA2*2</f>
        <v>300</v>
      </c>
      <c r="AB75" s="36">
        <f>U75*4.2</f>
        <v>56.457534246575342</v>
      </c>
      <c r="AC75" s="36"/>
      <c r="AD75" s="36"/>
      <c r="AE75" s="36">
        <f>AE3</f>
        <v>40</v>
      </c>
      <c r="AF75" s="36">
        <f>AF3</f>
        <v>32</v>
      </c>
      <c r="AG75" s="36">
        <f>AG3</f>
        <v>430</v>
      </c>
      <c r="AH75" s="41">
        <f t="shared" si="38"/>
        <v>2212.3639195279607</v>
      </c>
      <c r="AI75" s="41">
        <f t="shared" si="39"/>
        <v>2107.0132566932957</v>
      </c>
      <c r="AJ75" s="42">
        <f>AI75-Y3</f>
        <v>2065.1561138361531</v>
      </c>
      <c r="AK75" s="42">
        <f t="shared" si="36"/>
        <v>2322.9821155043587</v>
      </c>
      <c r="AL75" s="14">
        <f t="shared" si="40"/>
        <v>2433.6003114807568</v>
      </c>
      <c r="AM75" s="14">
        <f t="shared" si="37"/>
        <v>2544.2185074571544</v>
      </c>
      <c r="AN75" s="14">
        <f t="shared" si="41"/>
        <v>2765.4548994099509</v>
      </c>
    </row>
    <row r="76" spans="1:41" x14ac:dyDescent="0.25">
      <c r="B76" s="6" t="s">
        <v>446</v>
      </c>
      <c r="C76" s="8" t="s">
        <v>445</v>
      </c>
      <c r="D76" s="10"/>
      <c r="E76" s="7" t="s">
        <v>21</v>
      </c>
      <c r="F76" s="7" t="s">
        <v>31</v>
      </c>
      <c r="G76" s="7" t="s">
        <v>14</v>
      </c>
      <c r="H76" s="10" t="s">
        <v>107</v>
      </c>
      <c r="I76" s="46" t="s">
        <v>622</v>
      </c>
      <c r="J76" s="46" t="s">
        <v>439</v>
      </c>
      <c r="K76" s="7" t="s">
        <v>441</v>
      </c>
      <c r="L76" s="7" t="s">
        <v>440</v>
      </c>
      <c r="M76" s="7"/>
      <c r="N76" s="7">
        <v>21</v>
      </c>
      <c r="O76" s="7">
        <v>4</v>
      </c>
      <c r="P76" s="7">
        <v>6</v>
      </c>
      <c r="Q76" s="7">
        <f t="shared" si="35"/>
        <v>90</v>
      </c>
      <c r="R76" s="74">
        <f>U4</f>
        <v>689.28571428571422</v>
      </c>
      <c r="S76" s="74">
        <f t="shared" si="33"/>
        <v>7.6587301587301582</v>
      </c>
      <c r="T76" s="7">
        <v>4</v>
      </c>
      <c r="U76" s="75">
        <f t="shared" si="34"/>
        <v>11.658730158730158</v>
      </c>
      <c r="V76" s="7">
        <v>980</v>
      </c>
      <c r="W76" s="7"/>
      <c r="X76" s="36">
        <f>X3/6</f>
        <v>71.212121212121204</v>
      </c>
      <c r="Y76" s="36">
        <f>Y3</f>
        <v>41.857142857142854</v>
      </c>
      <c r="Z76" s="36">
        <f>Z3*1.5</f>
        <v>5.625</v>
      </c>
      <c r="AA76" s="7">
        <f>AA2</f>
        <v>150</v>
      </c>
      <c r="AB76" s="36">
        <f>U76*2.1</f>
        <v>24.483333333333334</v>
      </c>
      <c r="AC76" s="36"/>
      <c r="AD76" s="36"/>
      <c r="AE76" s="36">
        <f>AE3</f>
        <v>40</v>
      </c>
      <c r="AF76" s="36">
        <f>AF3</f>
        <v>32</v>
      </c>
      <c r="AG76" s="36">
        <f>AG3</f>
        <v>430</v>
      </c>
      <c r="AH76" s="41">
        <f t="shared" si="38"/>
        <v>1775.1775974025975</v>
      </c>
      <c r="AI76" s="41">
        <f t="shared" si="39"/>
        <v>1690.6453308596165</v>
      </c>
      <c r="AJ76" s="42">
        <f>AI76-Y3</f>
        <v>1648.7881880024736</v>
      </c>
      <c r="AK76" s="42">
        <f t="shared" si="36"/>
        <v>1863.9364772727274</v>
      </c>
      <c r="AL76" s="14">
        <f t="shared" si="40"/>
        <v>1952.6953571428573</v>
      </c>
      <c r="AM76" s="14">
        <f t="shared" si="37"/>
        <v>2041.4542370129871</v>
      </c>
      <c r="AN76" s="14">
        <f t="shared" si="41"/>
        <v>2218.9719967532469</v>
      </c>
      <c r="AO76" s="79" t="s">
        <v>177</v>
      </c>
    </row>
    <row r="77" spans="1:41" s="31" customFormat="1" x14ac:dyDescent="0.25">
      <c r="B77" s="26"/>
      <c r="C77" s="27"/>
      <c r="D77" s="29"/>
      <c r="E77" s="28"/>
      <c r="F77" s="28"/>
      <c r="G77" s="28"/>
      <c r="H77" s="29"/>
      <c r="I77" s="29"/>
      <c r="J77" s="47"/>
      <c r="K77" s="28"/>
      <c r="L77" s="28"/>
      <c r="M77" s="28"/>
      <c r="N77" s="3"/>
      <c r="O77" s="3"/>
      <c r="P77" s="3"/>
      <c r="Q77" s="3"/>
      <c r="R77" s="3"/>
      <c r="S77" s="3"/>
      <c r="T77" s="3"/>
      <c r="U77" s="3"/>
      <c r="V77" s="28"/>
      <c r="W77" s="28"/>
      <c r="X77" s="37"/>
      <c r="Y77" s="37"/>
      <c r="Z77" s="37"/>
      <c r="AA77" s="28"/>
      <c r="AB77" s="37"/>
      <c r="AC77" s="37"/>
      <c r="AD77" s="37"/>
      <c r="AE77" s="37"/>
      <c r="AF77" s="28"/>
      <c r="AG77" s="37"/>
      <c r="AH77" s="43"/>
      <c r="AI77" s="43"/>
      <c r="AJ77" s="42"/>
      <c r="AK77" s="42"/>
      <c r="AL77" s="30"/>
      <c r="AM77" s="30"/>
      <c r="AN77" s="30"/>
      <c r="AO77" s="80"/>
    </row>
    <row r="78" spans="1:41" ht="16.5" customHeight="1" x14ac:dyDescent="0.25">
      <c r="B78" s="17" t="s">
        <v>121</v>
      </c>
      <c r="C78" s="18"/>
      <c r="D78" s="20"/>
      <c r="E78" s="19"/>
      <c r="F78" s="19"/>
      <c r="G78" s="19"/>
      <c r="H78" s="20"/>
      <c r="I78" s="20"/>
      <c r="J78" s="2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34"/>
      <c r="Y78" s="34"/>
      <c r="Z78" s="34"/>
      <c r="AA78" s="19"/>
      <c r="AB78" s="34"/>
      <c r="AC78" s="34"/>
      <c r="AD78" s="34"/>
      <c r="AE78" s="34"/>
      <c r="AF78" s="19"/>
      <c r="AG78" s="34"/>
      <c r="AH78" s="40"/>
      <c r="AI78" s="40"/>
      <c r="AJ78" s="40"/>
      <c r="AK78" s="40"/>
      <c r="AL78" s="19"/>
      <c r="AM78" s="19"/>
      <c r="AN78" s="19"/>
    </row>
    <row r="79" spans="1:41" ht="15.75" customHeight="1" x14ac:dyDescent="0.25">
      <c r="B79" s="6" t="s">
        <v>540</v>
      </c>
      <c r="C79" s="60" t="s">
        <v>541</v>
      </c>
      <c r="D79" s="10"/>
      <c r="E79" s="7" t="s">
        <v>17</v>
      </c>
      <c r="F79" s="7" t="s">
        <v>542</v>
      </c>
      <c r="G79" s="7" t="s">
        <v>10</v>
      </c>
      <c r="H79" s="10">
        <v>7700834816</v>
      </c>
      <c r="I79" s="46" t="s">
        <v>644</v>
      </c>
      <c r="J79" s="46" t="s">
        <v>543</v>
      </c>
      <c r="K79" s="7" t="s">
        <v>544</v>
      </c>
      <c r="L79" s="7" t="s">
        <v>545</v>
      </c>
      <c r="M79" s="7"/>
      <c r="N79" s="7"/>
      <c r="O79" s="7"/>
      <c r="P79" s="7">
        <v>1000</v>
      </c>
      <c r="Q79" s="7">
        <f>(N79*O79)+P79</f>
        <v>1000</v>
      </c>
      <c r="R79" s="74">
        <f>U4</f>
        <v>689.28571428571422</v>
      </c>
      <c r="S79" s="74">
        <f>R79/Q79</f>
        <v>0.68928571428571417</v>
      </c>
      <c r="T79" s="7">
        <v>4</v>
      </c>
      <c r="U79" s="75">
        <f>T79+S79</f>
        <v>4.6892857142857141</v>
      </c>
      <c r="V79" s="7">
        <v>1047</v>
      </c>
      <c r="W79" s="7"/>
      <c r="X79" s="36">
        <f>X3/6</f>
        <v>71.212121212121204</v>
      </c>
      <c r="Y79" s="36">
        <f>Y3</f>
        <v>41.857142857142854</v>
      </c>
      <c r="Z79" s="36">
        <f>Z3*1.5</f>
        <v>5.625</v>
      </c>
      <c r="AA79" s="7">
        <f>AA2</f>
        <v>150</v>
      </c>
      <c r="AB79" s="36">
        <f t="shared" ref="AB79:AB93" si="42">U79*2.1</f>
        <v>9.8475000000000001</v>
      </c>
      <c r="AC79" s="36"/>
      <c r="AD79" s="36">
        <f>AD2/6</f>
        <v>166.66666666666666</v>
      </c>
      <c r="AE79" s="36">
        <f>AE3</f>
        <v>40</v>
      </c>
      <c r="AF79" s="7">
        <f>AF3</f>
        <v>32</v>
      </c>
      <c r="AG79" s="36">
        <f>AG3</f>
        <v>430</v>
      </c>
      <c r="AH79" s="41">
        <f t="shared" ref="AH79:AH93" si="43">V79+X79+Y79+Z79+AA79+AB79+AC79+AD79+AE79+AF79+AG79</f>
        <v>1994.208430735931</v>
      </c>
      <c r="AI79" s="41">
        <f t="shared" ref="AI79:AI87" si="44">AH79/1.05</f>
        <v>1899.2461245104103</v>
      </c>
      <c r="AJ79" s="42">
        <f>AI79-Y3</f>
        <v>1857.3889816532674</v>
      </c>
      <c r="AK79" s="42">
        <f t="shared" ref="AK79:AK93" si="45">AH79*1.05</f>
        <v>2093.9188522727277</v>
      </c>
      <c r="AL79" s="14">
        <f t="shared" ref="AL79:AL93" si="46">AH79*1.1</f>
        <v>2193.6292738095244</v>
      </c>
      <c r="AM79" s="14">
        <f t="shared" ref="AM79:AM93" si="47">AH79*1.15</f>
        <v>2293.3396953463202</v>
      </c>
      <c r="AN79" s="14">
        <f t="shared" ref="AN79:AN93" si="48">AH79*1.25</f>
        <v>2492.7605384199137</v>
      </c>
      <c r="AO79" s="79" t="s">
        <v>177</v>
      </c>
    </row>
    <row r="80" spans="1:41" ht="15.75" customHeight="1" x14ac:dyDescent="0.25">
      <c r="B80" s="6" t="s">
        <v>770</v>
      </c>
      <c r="C80" s="8" t="s">
        <v>814</v>
      </c>
      <c r="D80" s="10"/>
      <c r="E80" s="7" t="s">
        <v>813</v>
      </c>
      <c r="F80" s="7" t="s">
        <v>542</v>
      </c>
      <c r="G80" s="7" t="s">
        <v>10</v>
      </c>
      <c r="H80" s="10" t="s">
        <v>834</v>
      </c>
      <c r="I80" s="46" t="s">
        <v>812</v>
      </c>
      <c r="J80" s="46" t="s">
        <v>809</v>
      </c>
      <c r="K80" s="7" t="s">
        <v>810</v>
      </c>
      <c r="L80" s="7" t="s">
        <v>811</v>
      </c>
      <c r="M80" s="7"/>
      <c r="N80" s="7">
        <v>35</v>
      </c>
      <c r="O80" s="7">
        <v>3</v>
      </c>
      <c r="P80" s="7">
        <v>0</v>
      </c>
      <c r="Q80" s="7">
        <f>(N80*O80)+P80</f>
        <v>105</v>
      </c>
      <c r="R80" s="74">
        <f>U4</f>
        <v>689.28571428571422</v>
      </c>
      <c r="S80" s="74">
        <f>R80/Q80</f>
        <v>6.5646258503401356</v>
      </c>
      <c r="T80" s="7">
        <v>4</v>
      </c>
      <c r="U80" s="75">
        <f>T80+S80</f>
        <v>10.564625850340136</v>
      </c>
      <c r="V80" s="7">
        <v>1250</v>
      </c>
      <c r="W80" s="7"/>
      <c r="X80" s="36">
        <f>X3/6</f>
        <v>71.212121212121204</v>
      </c>
      <c r="Y80" s="36">
        <f>Y3</f>
        <v>41.857142857142854</v>
      </c>
      <c r="Z80" s="36">
        <f>Z3*1.5</f>
        <v>5.625</v>
      </c>
      <c r="AA80" s="7">
        <f>AA2</f>
        <v>150</v>
      </c>
      <c r="AB80" s="36">
        <f t="shared" si="42"/>
        <v>22.185714285714287</v>
      </c>
      <c r="AC80" s="36"/>
      <c r="AD80" s="36">
        <f>AD2/5</f>
        <v>200</v>
      </c>
      <c r="AE80" s="36">
        <f>AE3</f>
        <v>40</v>
      </c>
      <c r="AF80" s="7">
        <f>AF3</f>
        <v>32</v>
      </c>
      <c r="AG80" s="36">
        <f>AG3</f>
        <v>430</v>
      </c>
      <c r="AH80" s="41">
        <f t="shared" si="43"/>
        <v>2242.8799783549784</v>
      </c>
      <c r="AI80" s="41">
        <f t="shared" si="44"/>
        <v>2136.076169861884</v>
      </c>
      <c r="AJ80" s="42">
        <f>AI80-Y3</f>
        <v>2094.2190270047413</v>
      </c>
      <c r="AK80" s="42">
        <f t="shared" si="45"/>
        <v>2355.0239772727273</v>
      </c>
      <c r="AL80" s="14">
        <f t="shared" si="46"/>
        <v>2467.1679761904766</v>
      </c>
      <c r="AM80" s="14">
        <f t="shared" si="47"/>
        <v>2579.3119751082249</v>
      </c>
      <c r="AN80" s="14">
        <f t="shared" si="48"/>
        <v>2803.5999729437231</v>
      </c>
    </row>
    <row r="81" spans="1:41" ht="15.75" customHeight="1" x14ac:dyDescent="0.25">
      <c r="B81" s="6" t="s">
        <v>340</v>
      </c>
      <c r="C81" s="8" t="s">
        <v>341</v>
      </c>
      <c r="D81" s="10"/>
      <c r="E81" s="7" t="s">
        <v>220</v>
      </c>
      <c r="F81" s="7" t="s">
        <v>20</v>
      </c>
      <c r="G81" s="7" t="s">
        <v>14</v>
      </c>
      <c r="H81" s="10">
        <v>7701048748</v>
      </c>
      <c r="I81" s="46" t="s">
        <v>645</v>
      </c>
      <c r="J81" s="46" t="s">
        <v>351</v>
      </c>
      <c r="K81" s="7" t="s">
        <v>349</v>
      </c>
      <c r="L81" s="7" t="s">
        <v>350</v>
      </c>
      <c r="M81" s="7"/>
      <c r="N81" s="7">
        <v>21</v>
      </c>
      <c r="O81" s="7">
        <v>4</v>
      </c>
      <c r="P81" s="7">
        <v>0</v>
      </c>
      <c r="Q81" s="7">
        <f>(N81*O81)+P81</f>
        <v>84</v>
      </c>
      <c r="R81" s="74">
        <f>U4</f>
        <v>689.28571428571422</v>
      </c>
      <c r="S81" s="74">
        <f>R81/Q81</f>
        <v>8.2057823129251695</v>
      </c>
      <c r="T81" s="7">
        <v>4</v>
      </c>
      <c r="U81" s="75">
        <f>T81+S81</f>
        <v>12.205782312925169</v>
      </c>
      <c r="V81" s="7">
        <v>980</v>
      </c>
      <c r="W81" s="7"/>
      <c r="X81" s="36">
        <f>X3/6</f>
        <v>71.212121212121204</v>
      </c>
      <c r="Y81" s="36">
        <f>Y3</f>
        <v>41.857142857142854</v>
      </c>
      <c r="Z81" s="36">
        <f>Z3*1.5</f>
        <v>5.625</v>
      </c>
      <c r="AA81" s="7">
        <f>AA2</f>
        <v>150</v>
      </c>
      <c r="AB81" s="36">
        <f t="shared" si="42"/>
        <v>25.632142857142856</v>
      </c>
      <c r="AC81" s="36"/>
      <c r="AD81" s="36"/>
      <c r="AE81" s="36">
        <f>AE3</f>
        <v>40</v>
      </c>
      <c r="AF81" s="7">
        <f>AF3</f>
        <v>32</v>
      </c>
      <c r="AG81" s="36">
        <f>AG3</f>
        <v>430</v>
      </c>
      <c r="AH81" s="41">
        <f t="shared" si="43"/>
        <v>1776.3264069264069</v>
      </c>
      <c r="AI81" s="41">
        <f t="shared" si="44"/>
        <v>1691.7394351680066</v>
      </c>
      <c r="AJ81" s="42">
        <f>AI81-Y3</f>
        <v>1649.8822923108637</v>
      </c>
      <c r="AK81" s="42">
        <f t="shared" si="45"/>
        <v>1865.1427272727274</v>
      </c>
      <c r="AL81" s="14">
        <f t="shared" si="46"/>
        <v>1953.9590476190476</v>
      </c>
      <c r="AM81" s="14">
        <f t="shared" si="47"/>
        <v>2042.7753679653679</v>
      </c>
      <c r="AN81" s="14">
        <f t="shared" si="48"/>
        <v>2220.4080086580088</v>
      </c>
      <c r="AO81" s="79" t="s">
        <v>177</v>
      </c>
    </row>
    <row r="82" spans="1:41" x14ac:dyDescent="0.25">
      <c r="B82" s="6" t="s">
        <v>342</v>
      </c>
      <c r="C82" s="8" t="s">
        <v>123</v>
      </c>
      <c r="D82" s="10"/>
      <c r="E82" s="7" t="s">
        <v>17</v>
      </c>
      <c r="F82" s="7" t="s">
        <v>124</v>
      </c>
      <c r="G82" s="7" t="s">
        <v>14</v>
      </c>
      <c r="H82" s="10">
        <v>7700424098</v>
      </c>
      <c r="I82" s="46" t="s">
        <v>646</v>
      </c>
      <c r="J82" s="46" t="s">
        <v>650</v>
      </c>
      <c r="K82" s="7" t="s">
        <v>125</v>
      </c>
      <c r="L82" s="7" t="s">
        <v>126</v>
      </c>
      <c r="M82" s="7"/>
      <c r="N82" s="7">
        <v>21</v>
      </c>
      <c r="O82" s="7">
        <v>4</v>
      </c>
      <c r="P82" s="7">
        <v>0</v>
      </c>
      <c r="Q82" s="7">
        <f t="shared" ref="Q82:Q93" si="49">(N82*O82)+P82</f>
        <v>84</v>
      </c>
      <c r="R82" s="74">
        <f>U4</f>
        <v>689.28571428571422</v>
      </c>
      <c r="S82" s="74">
        <f t="shared" ref="S82:S93" si="50">R82/Q82</f>
        <v>8.2057823129251695</v>
      </c>
      <c r="T82" s="7">
        <v>4</v>
      </c>
      <c r="U82" s="75">
        <f t="shared" ref="U82:U93" si="51">T82+S82</f>
        <v>12.205782312925169</v>
      </c>
      <c r="V82" s="7">
        <v>842</v>
      </c>
      <c r="W82" s="7"/>
      <c r="X82" s="36">
        <f>X3/6</f>
        <v>71.212121212121204</v>
      </c>
      <c r="Y82" s="36">
        <f>Y3</f>
        <v>41.857142857142854</v>
      </c>
      <c r="Z82" s="36">
        <f>Z3*1.5</f>
        <v>5.625</v>
      </c>
      <c r="AA82" s="36">
        <f>AA2</f>
        <v>150</v>
      </c>
      <c r="AB82" s="36">
        <f t="shared" si="42"/>
        <v>25.632142857142856</v>
      </c>
      <c r="AC82" s="36"/>
      <c r="AD82" s="36"/>
      <c r="AE82" s="36">
        <f>AE3</f>
        <v>40</v>
      </c>
      <c r="AF82" s="7">
        <f>AF3</f>
        <v>32</v>
      </c>
      <c r="AG82" s="36">
        <f>AG3</f>
        <v>430</v>
      </c>
      <c r="AH82" s="41">
        <f t="shared" si="43"/>
        <v>1638.3264069264069</v>
      </c>
      <c r="AI82" s="41">
        <f t="shared" si="44"/>
        <v>1560.310863739435</v>
      </c>
      <c r="AJ82" s="42">
        <f>AI82-Y3</f>
        <v>1518.4537208822921</v>
      </c>
      <c r="AK82" s="42">
        <f t="shared" si="45"/>
        <v>1720.2427272727273</v>
      </c>
      <c r="AL82" s="14">
        <f t="shared" si="46"/>
        <v>1802.1590476190477</v>
      </c>
      <c r="AM82" s="14">
        <f t="shared" si="47"/>
        <v>1884.0753679653678</v>
      </c>
      <c r="AN82" s="14">
        <f t="shared" si="48"/>
        <v>2047.9080086580086</v>
      </c>
    </row>
    <row r="83" spans="1:41" x14ac:dyDescent="0.25">
      <c r="B83" s="6" t="s">
        <v>727</v>
      </c>
      <c r="C83" s="8" t="s">
        <v>729</v>
      </c>
      <c r="D83" s="10"/>
      <c r="E83" s="7" t="s">
        <v>17</v>
      </c>
      <c r="F83" s="7" t="s">
        <v>462</v>
      </c>
      <c r="G83" s="7" t="s">
        <v>14</v>
      </c>
      <c r="H83" s="10">
        <v>8200848492</v>
      </c>
      <c r="I83" s="46" t="s">
        <v>732</v>
      </c>
      <c r="J83" s="46" t="s">
        <v>731</v>
      </c>
      <c r="K83" s="7" t="s">
        <v>734</v>
      </c>
      <c r="L83" s="7" t="s">
        <v>733</v>
      </c>
      <c r="M83" s="7"/>
      <c r="N83" s="7">
        <v>21</v>
      </c>
      <c r="O83" s="7">
        <v>4</v>
      </c>
      <c r="P83" s="7">
        <v>0</v>
      </c>
      <c r="Q83" s="7">
        <f t="shared" si="49"/>
        <v>84</v>
      </c>
      <c r="R83" s="74">
        <f>U4</f>
        <v>689.28571428571422</v>
      </c>
      <c r="S83" s="74">
        <f t="shared" si="50"/>
        <v>8.2057823129251695</v>
      </c>
      <c r="T83" s="7">
        <v>4</v>
      </c>
      <c r="U83" s="75">
        <f t="shared" si="51"/>
        <v>12.205782312925169</v>
      </c>
      <c r="V83" s="7">
        <v>1030</v>
      </c>
      <c r="W83" s="7"/>
      <c r="X83" s="36">
        <f>X3/6</f>
        <v>71.212121212121204</v>
      </c>
      <c r="Y83" s="36">
        <f>Y3</f>
        <v>41.857142857142854</v>
      </c>
      <c r="Z83" s="36">
        <f>Z3*1.5</f>
        <v>5.625</v>
      </c>
      <c r="AA83" s="36">
        <f>AA2*2</f>
        <v>300</v>
      </c>
      <c r="AB83" s="36">
        <f t="shared" si="42"/>
        <v>25.632142857142856</v>
      </c>
      <c r="AC83" s="36"/>
      <c r="AD83" s="36">
        <f>AD2/30</f>
        <v>33.333333333333336</v>
      </c>
      <c r="AE83" s="36">
        <f>AE3</f>
        <v>40</v>
      </c>
      <c r="AF83" s="7">
        <f>AF3</f>
        <v>32</v>
      </c>
      <c r="AG83" s="36">
        <f>AG3</f>
        <v>430</v>
      </c>
      <c r="AH83" s="41">
        <f>V83+X83+Y83+Z83+AA83+AB83+AC83+AD83+AE83+AF83+AG83</f>
        <v>2009.6597402597401</v>
      </c>
      <c r="AI83" s="41">
        <f t="shared" si="44"/>
        <v>1913.9616573902285</v>
      </c>
      <c r="AJ83" s="42">
        <f>AI83-Y3</f>
        <v>1872.1045145330856</v>
      </c>
      <c r="AK83" s="42">
        <f t="shared" si="45"/>
        <v>2110.1427272727274</v>
      </c>
      <c r="AL83" s="14">
        <f t="shared" si="46"/>
        <v>2210.6257142857144</v>
      </c>
      <c r="AM83" s="14">
        <f t="shared" si="47"/>
        <v>2311.1087012987009</v>
      </c>
      <c r="AN83" s="14">
        <f t="shared" si="48"/>
        <v>2512.0746753246754</v>
      </c>
    </row>
    <row r="84" spans="1:41" x14ac:dyDescent="0.25">
      <c r="B84" s="6" t="s">
        <v>728</v>
      </c>
      <c r="C84" s="8" t="s">
        <v>730</v>
      </c>
      <c r="D84" s="10"/>
      <c r="E84" s="7" t="s">
        <v>17</v>
      </c>
      <c r="F84" s="7" t="s">
        <v>462</v>
      </c>
      <c r="G84" s="7" t="s">
        <v>14</v>
      </c>
      <c r="H84" s="10">
        <v>7701055109</v>
      </c>
      <c r="I84" s="46" t="s">
        <v>735</v>
      </c>
      <c r="J84" s="46" t="s">
        <v>736</v>
      </c>
      <c r="K84" s="7" t="s">
        <v>737</v>
      </c>
      <c r="L84" s="7" t="s">
        <v>738</v>
      </c>
      <c r="M84" s="7"/>
      <c r="N84" s="7">
        <v>21</v>
      </c>
      <c r="O84" s="7">
        <v>4</v>
      </c>
      <c r="P84" s="7">
        <v>0</v>
      </c>
      <c r="Q84" s="7">
        <f t="shared" si="49"/>
        <v>84</v>
      </c>
      <c r="R84" s="74">
        <f>U4</f>
        <v>689.28571428571422</v>
      </c>
      <c r="S84" s="74">
        <f t="shared" si="50"/>
        <v>8.2057823129251695</v>
      </c>
      <c r="T84" s="7">
        <v>4</v>
      </c>
      <c r="U84" s="75">
        <f t="shared" si="51"/>
        <v>12.205782312925169</v>
      </c>
      <c r="V84" s="7">
        <v>1030</v>
      </c>
      <c r="W84" s="7"/>
      <c r="X84" s="36">
        <f>X3/6</f>
        <v>71.212121212121204</v>
      </c>
      <c r="Y84" s="36">
        <f>Y3</f>
        <v>41.857142857142854</v>
      </c>
      <c r="Z84" s="36">
        <f>Z3*1.5</f>
        <v>5.625</v>
      </c>
      <c r="AA84" s="36">
        <f>AA2*3</f>
        <v>450</v>
      </c>
      <c r="AB84" s="36">
        <f t="shared" si="42"/>
        <v>25.632142857142856</v>
      </c>
      <c r="AC84" s="36">
        <v>2500</v>
      </c>
      <c r="AD84" s="36"/>
      <c r="AE84" s="36">
        <f>AE3</f>
        <v>40</v>
      </c>
      <c r="AF84" s="7">
        <f>AF3</f>
        <v>32</v>
      </c>
      <c r="AG84" s="36">
        <f>AG3</f>
        <v>430</v>
      </c>
      <c r="AH84" s="41">
        <f>V84+X84+Y84+Z84+AA84+AB84+AC84+AD84+AE84+AF84+AG84</f>
        <v>4626.3264069264069</v>
      </c>
      <c r="AI84" s="41">
        <f t="shared" si="44"/>
        <v>4406.0251494537206</v>
      </c>
      <c r="AJ84" s="42">
        <f>AI84-Y3</f>
        <v>4364.1680065965775</v>
      </c>
      <c r="AK84" s="42">
        <f t="shared" si="45"/>
        <v>4857.6427272727278</v>
      </c>
      <c r="AL84" s="14">
        <f t="shared" si="46"/>
        <v>5088.9590476190479</v>
      </c>
      <c r="AM84" s="14">
        <f t="shared" si="47"/>
        <v>5320.2753679653679</v>
      </c>
      <c r="AN84" s="14">
        <f t="shared" si="48"/>
        <v>5782.9080086580088</v>
      </c>
    </row>
    <row r="85" spans="1:41" ht="30" x14ac:dyDescent="0.25">
      <c r="B85" s="6" t="s">
        <v>343</v>
      </c>
      <c r="C85" s="8" t="s">
        <v>505</v>
      </c>
      <c r="D85" s="10"/>
      <c r="E85" s="7" t="s">
        <v>21</v>
      </c>
      <c r="F85" s="7" t="s">
        <v>127</v>
      </c>
      <c r="G85" s="7" t="s">
        <v>46</v>
      </c>
      <c r="H85" s="10" t="s">
        <v>506</v>
      </c>
      <c r="I85" s="46" t="s">
        <v>651</v>
      </c>
      <c r="J85" s="46" t="s">
        <v>507</v>
      </c>
      <c r="K85" s="7" t="s">
        <v>128</v>
      </c>
      <c r="L85" s="7" t="s">
        <v>129</v>
      </c>
      <c r="M85" s="7"/>
      <c r="N85" s="7">
        <v>35</v>
      </c>
      <c r="O85" s="7">
        <v>4</v>
      </c>
      <c r="P85" s="7">
        <v>0</v>
      </c>
      <c r="Q85" s="7">
        <f t="shared" si="49"/>
        <v>140</v>
      </c>
      <c r="R85" s="74">
        <f>U4</f>
        <v>689.28571428571422</v>
      </c>
      <c r="S85" s="74">
        <f t="shared" si="50"/>
        <v>4.9234693877551017</v>
      </c>
      <c r="T85" s="7">
        <v>4</v>
      </c>
      <c r="U85" s="75">
        <f t="shared" si="51"/>
        <v>8.9234693877551017</v>
      </c>
      <c r="V85" s="7">
        <v>883</v>
      </c>
      <c r="W85" s="7"/>
      <c r="X85" s="36">
        <f>X3/6</f>
        <v>71.212121212121204</v>
      </c>
      <c r="Y85" s="36">
        <f>Y3</f>
        <v>41.857142857142854</v>
      </c>
      <c r="Z85" s="36">
        <f>Z3*1.5</f>
        <v>5.625</v>
      </c>
      <c r="AA85" s="7">
        <f>AA2</f>
        <v>150</v>
      </c>
      <c r="AB85" s="36">
        <f t="shared" si="42"/>
        <v>18.739285714285714</v>
      </c>
      <c r="AC85" s="36"/>
      <c r="AD85" s="36"/>
      <c r="AE85" s="36">
        <f>AE3</f>
        <v>40</v>
      </c>
      <c r="AF85" s="7">
        <f>AF3</f>
        <v>32</v>
      </c>
      <c r="AG85" s="36">
        <f>AG3</f>
        <v>430</v>
      </c>
      <c r="AH85" s="41">
        <f t="shared" si="43"/>
        <v>1672.4335497835498</v>
      </c>
      <c r="AI85" s="41">
        <f t="shared" si="44"/>
        <v>1592.7938569367141</v>
      </c>
      <c r="AJ85" s="42">
        <f>AI85-Y3</f>
        <v>1550.9367140795712</v>
      </c>
      <c r="AK85" s="42">
        <f t="shared" si="45"/>
        <v>1756.0552272727273</v>
      </c>
      <c r="AL85" s="14">
        <f t="shared" si="46"/>
        <v>1839.676904761905</v>
      </c>
      <c r="AM85" s="14">
        <f t="shared" si="47"/>
        <v>1923.2985822510821</v>
      </c>
      <c r="AN85" s="14">
        <f t="shared" si="48"/>
        <v>2090.5419372294373</v>
      </c>
    </row>
    <row r="86" spans="1:41" x14ac:dyDescent="0.25">
      <c r="B86" s="6" t="s">
        <v>344</v>
      </c>
      <c r="C86" s="8" t="s">
        <v>256</v>
      </c>
      <c r="D86" s="10"/>
      <c r="E86" s="7" t="s">
        <v>145</v>
      </c>
      <c r="F86" s="7" t="s">
        <v>30</v>
      </c>
      <c r="G86" s="7" t="s">
        <v>64</v>
      </c>
      <c r="H86" s="10"/>
      <c r="I86" s="46" t="s">
        <v>624</v>
      </c>
      <c r="J86" s="46" t="s">
        <v>653</v>
      </c>
      <c r="K86" s="7" t="s">
        <v>654</v>
      </c>
      <c r="L86" s="7" t="s">
        <v>257</v>
      </c>
      <c r="M86" s="7"/>
      <c r="N86" s="7">
        <v>18</v>
      </c>
      <c r="O86" s="7">
        <v>6</v>
      </c>
      <c r="P86" s="7">
        <v>0</v>
      </c>
      <c r="Q86" s="7">
        <f t="shared" si="49"/>
        <v>108</v>
      </c>
      <c r="R86" s="74">
        <f>U4</f>
        <v>689.28571428571422</v>
      </c>
      <c r="S86" s="74">
        <f t="shared" si="50"/>
        <v>6.3822751322751321</v>
      </c>
      <c r="T86" s="7">
        <v>4</v>
      </c>
      <c r="U86" s="75">
        <f t="shared" si="51"/>
        <v>10.382275132275133</v>
      </c>
      <c r="V86" s="7">
        <v>873</v>
      </c>
      <c r="W86" s="7"/>
      <c r="X86" s="36">
        <f>X3/6</f>
        <v>71.212121212121204</v>
      </c>
      <c r="Y86" s="36">
        <f>Y3</f>
        <v>41.857142857142854</v>
      </c>
      <c r="Z86" s="36">
        <f>Z3*1.5</f>
        <v>5.625</v>
      </c>
      <c r="AA86" s="7">
        <f>AA2</f>
        <v>150</v>
      </c>
      <c r="AB86" s="36">
        <f t="shared" si="42"/>
        <v>21.802777777777781</v>
      </c>
      <c r="AC86" s="36"/>
      <c r="AD86" s="36"/>
      <c r="AE86" s="36">
        <f>AE3</f>
        <v>40</v>
      </c>
      <c r="AF86" s="7">
        <f>AF3</f>
        <v>32</v>
      </c>
      <c r="AG86" s="36">
        <f>AG3</f>
        <v>430</v>
      </c>
      <c r="AH86" s="41">
        <f t="shared" si="43"/>
        <v>1665.4970418470418</v>
      </c>
      <c r="AI86" s="41">
        <f t="shared" si="44"/>
        <v>1586.1876589019446</v>
      </c>
      <c r="AJ86" s="42">
        <f>AI86-Y3</f>
        <v>1544.3305160448017</v>
      </c>
      <c r="AK86" s="42">
        <f t="shared" si="45"/>
        <v>1748.771893939394</v>
      </c>
      <c r="AL86" s="14">
        <f t="shared" si="46"/>
        <v>1832.0467460317461</v>
      </c>
      <c r="AM86" s="14">
        <f t="shared" si="47"/>
        <v>1915.321598124098</v>
      </c>
      <c r="AN86" s="14">
        <f t="shared" si="48"/>
        <v>2081.8713023088021</v>
      </c>
    </row>
    <row r="87" spans="1:41" ht="30" x14ac:dyDescent="0.25">
      <c r="A87" t="s">
        <v>177</v>
      </c>
      <c r="B87" s="6" t="s">
        <v>405</v>
      </c>
      <c r="C87" s="8" t="s">
        <v>406</v>
      </c>
      <c r="D87" s="10"/>
      <c r="E87" s="7" t="s">
        <v>413</v>
      </c>
      <c r="F87" s="7" t="s">
        <v>407</v>
      </c>
      <c r="G87" s="7" t="s">
        <v>46</v>
      </c>
      <c r="H87" s="10" t="s">
        <v>408</v>
      </c>
      <c r="I87" s="46" t="s">
        <v>625</v>
      </c>
      <c r="J87" s="46" t="s">
        <v>412</v>
      </c>
      <c r="K87" s="7" t="s">
        <v>410</v>
      </c>
      <c r="L87" s="7" t="s">
        <v>411</v>
      </c>
      <c r="M87" s="7"/>
      <c r="N87" s="7">
        <v>35</v>
      </c>
      <c r="O87" s="7">
        <v>4</v>
      </c>
      <c r="P87" s="7">
        <v>0</v>
      </c>
      <c r="Q87" s="7">
        <f t="shared" si="49"/>
        <v>140</v>
      </c>
      <c r="R87" s="74">
        <f>U4</f>
        <v>689.28571428571422</v>
      </c>
      <c r="S87" s="74">
        <f t="shared" si="50"/>
        <v>4.9234693877551017</v>
      </c>
      <c r="T87" s="7">
        <v>4</v>
      </c>
      <c r="U87" s="75">
        <f t="shared" si="51"/>
        <v>8.9234693877551017</v>
      </c>
      <c r="V87" s="7">
        <v>1129</v>
      </c>
      <c r="W87" s="7"/>
      <c r="X87" s="36">
        <f>X3/6</f>
        <v>71.212121212121204</v>
      </c>
      <c r="Y87" s="36">
        <f>Y3</f>
        <v>41.857142857142854</v>
      </c>
      <c r="Z87" s="36">
        <f>Z3*1.5</f>
        <v>5.625</v>
      </c>
      <c r="AA87" s="7">
        <f>AA2*2.5</f>
        <v>375</v>
      </c>
      <c r="AB87" s="36">
        <f>(U87+U88)*2.1</f>
        <v>35.410714285714285</v>
      </c>
      <c r="AC87" s="36"/>
      <c r="AD87" s="36"/>
      <c r="AE87" s="36">
        <f>AE3</f>
        <v>40</v>
      </c>
      <c r="AF87" s="7">
        <f>AF3</f>
        <v>32</v>
      </c>
      <c r="AG87" s="36">
        <f>AG3*1.2</f>
        <v>516</v>
      </c>
      <c r="AH87" s="41">
        <f t="shared" si="43"/>
        <v>2246.1049783549784</v>
      </c>
      <c r="AI87" s="41">
        <f t="shared" si="44"/>
        <v>2139.1475984333129</v>
      </c>
      <c r="AJ87" s="42">
        <f>AI87-Y3</f>
        <v>2097.2904555761702</v>
      </c>
      <c r="AK87" s="42">
        <f t="shared" si="45"/>
        <v>2358.4102272727273</v>
      </c>
      <c r="AL87" s="14">
        <f t="shared" si="46"/>
        <v>2470.7154761904762</v>
      </c>
      <c r="AM87" s="14">
        <f t="shared" si="47"/>
        <v>2583.0207251082247</v>
      </c>
      <c r="AN87" s="14">
        <f t="shared" si="48"/>
        <v>2807.6312229437231</v>
      </c>
    </row>
    <row r="88" spans="1:41" x14ac:dyDescent="0.25">
      <c r="B88" s="6"/>
      <c r="C88" s="8"/>
      <c r="D88" s="10"/>
      <c r="E88" s="7"/>
      <c r="F88" s="7"/>
      <c r="G88" s="7"/>
      <c r="H88" s="10"/>
      <c r="I88" s="46"/>
      <c r="J88" s="46"/>
      <c r="K88" s="7"/>
      <c r="L88" s="7"/>
      <c r="M88" s="7"/>
      <c r="N88" s="7">
        <v>35</v>
      </c>
      <c r="O88" s="7">
        <v>5</v>
      </c>
      <c r="P88" s="7">
        <v>0</v>
      </c>
      <c r="Q88" s="7">
        <f>(N88*O88)+P88</f>
        <v>175</v>
      </c>
      <c r="R88" s="74">
        <f>U4</f>
        <v>689.28571428571422</v>
      </c>
      <c r="S88" s="74">
        <f>R88/Q88</f>
        <v>3.9387755102040813</v>
      </c>
      <c r="T88" s="7">
        <v>4</v>
      </c>
      <c r="U88" s="75">
        <f>T88+S88</f>
        <v>7.9387755102040813</v>
      </c>
      <c r="V88" s="7"/>
      <c r="W88" s="7"/>
      <c r="X88" s="36"/>
      <c r="Y88" s="36"/>
      <c r="Z88" s="36"/>
      <c r="AA88" s="7"/>
      <c r="AB88" s="36"/>
      <c r="AC88" s="36"/>
      <c r="AD88" s="36"/>
      <c r="AE88" s="36"/>
      <c r="AF88" s="7"/>
      <c r="AG88" s="36"/>
      <c r="AH88" s="41"/>
      <c r="AI88" s="41"/>
      <c r="AJ88" s="42"/>
      <c r="AK88" s="42" t="s">
        <v>177</v>
      </c>
      <c r="AL88" s="14"/>
      <c r="AM88" s="14" t="s">
        <v>177</v>
      </c>
      <c r="AN88" s="14"/>
    </row>
    <row r="89" spans="1:41" x14ac:dyDescent="0.25">
      <c r="B89" s="6" t="s">
        <v>345</v>
      </c>
      <c r="C89" s="8" t="s">
        <v>130</v>
      </c>
      <c r="D89" s="10">
        <v>96</v>
      </c>
      <c r="E89" s="7" t="s">
        <v>62</v>
      </c>
      <c r="F89" s="7" t="s">
        <v>131</v>
      </c>
      <c r="G89" s="7" t="s">
        <v>46</v>
      </c>
      <c r="H89" s="10" t="s">
        <v>409</v>
      </c>
      <c r="I89" s="46" t="s">
        <v>647</v>
      </c>
      <c r="J89" s="46" t="s">
        <v>655</v>
      </c>
      <c r="K89" s="7" t="s">
        <v>656</v>
      </c>
      <c r="L89" s="7" t="s">
        <v>132</v>
      </c>
      <c r="M89" s="7"/>
      <c r="N89" s="7">
        <v>35</v>
      </c>
      <c r="O89" s="7">
        <v>4</v>
      </c>
      <c r="P89" s="7">
        <v>0</v>
      </c>
      <c r="Q89" s="7">
        <f t="shared" si="49"/>
        <v>140</v>
      </c>
      <c r="R89" s="74">
        <f>U4</f>
        <v>689.28571428571422</v>
      </c>
      <c r="S89" s="74">
        <f t="shared" si="50"/>
        <v>4.9234693877551017</v>
      </c>
      <c r="T89" s="7">
        <v>4</v>
      </c>
      <c r="U89" s="75">
        <f t="shared" si="51"/>
        <v>8.9234693877551017</v>
      </c>
      <c r="V89" s="7">
        <v>1193</v>
      </c>
      <c r="W89" s="7"/>
      <c r="X89" s="36">
        <f>X3/6</f>
        <v>71.212121212121204</v>
      </c>
      <c r="Y89" s="36">
        <f>Y3</f>
        <v>41.857142857142854</v>
      </c>
      <c r="Z89" s="36">
        <f>Z3*1.5</f>
        <v>5.625</v>
      </c>
      <c r="AA89" s="7">
        <f>AA2*2</f>
        <v>300</v>
      </c>
      <c r="AB89" s="36">
        <f>U89*4.1</f>
        <v>36.586224489795917</v>
      </c>
      <c r="AC89" s="36"/>
      <c r="AD89" s="36"/>
      <c r="AE89" s="36">
        <f>AE3</f>
        <v>40</v>
      </c>
      <c r="AF89" s="7">
        <f>AF3</f>
        <v>32</v>
      </c>
      <c r="AG89" s="36">
        <f>AG3</f>
        <v>430</v>
      </c>
      <c r="AH89" s="41">
        <f t="shared" si="43"/>
        <v>2150.2804885590604</v>
      </c>
      <c r="AI89" s="41">
        <f>AH89/1.05</f>
        <v>2047.8861795800574</v>
      </c>
      <c r="AJ89" s="42">
        <f>AI89-Y3</f>
        <v>2006.0290367229145</v>
      </c>
      <c r="AK89" s="42">
        <f t="shared" si="45"/>
        <v>2257.7945129870136</v>
      </c>
      <c r="AL89" s="14">
        <f t="shared" si="46"/>
        <v>2365.3085374149664</v>
      </c>
      <c r="AM89" s="14">
        <f t="shared" si="47"/>
        <v>2472.8225618429192</v>
      </c>
      <c r="AN89" s="14">
        <f t="shared" si="48"/>
        <v>2687.8506106988252</v>
      </c>
    </row>
    <row r="90" spans="1:41" x14ac:dyDescent="0.25">
      <c r="B90" s="6" t="s">
        <v>346</v>
      </c>
      <c r="C90" s="8" t="s">
        <v>133</v>
      </c>
      <c r="D90" s="10"/>
      <c r="E90" s="7" t="s">
        <v>21</v>
      </c>
      <c r="F90" s="7" t="s">
        <v>31</v>
      </c>
      <c r="G90" s="7" t="s">
        <v>64</v>
      </c>
      <c r="H90" s="10"/>
      <c r="I90" s="46" t="s">
        <v>657</v>
      </c>
      <c r="J90" s="46" t="s">
        <v>658</v>
      </c>
      <c r="K90" s="7" t="s">
        <v>128</v>
      </c>
      <c r="L90" s="7" t="s">
        <v>659</v>
      </c>
      <c r="M90" s="7"/>
      <c r="N90" s="7">
        <v>18</v>
      </c>
      <c r="O90" s="7">
        <v>4</v>
      </c>
      <c r="P90" s="7">
        <v>0</v>
      </c>
      <c r="Q90" s="7">
        <f t="shared" si="49"/>
        <v>72</v>
      </c>
      <c r="R90" s="74">
        <f>U4</f>
        <v>689.28571428571422</v>
      </c>
      <c r="S90" s="74">
        <f t="shared" si="50"/>
        <v>9.5734126984126977</v>
      </c>
      <c r="T90" s="7">
        <v>4</v>
      </c>
      <c r="U90" s="75">
        <f t="shared" si="51"/>
        <v>13.573412698412698</v>
      </c>
      <c r="V90" s="7">
        <v>980</v>
      </c>
      <c r="W90" s="7"/>
      <c r="X90" s="36">
        <f>X3/6</f>
        <v>71.212121212121204</v>
      </c>
      <c r="Y90" s="36">
        <f>Y3</f>
        <v>41.857142857142854</v>
      </c>
      <c r="Z90" s="36">
        <f>Z3*1.5</f>
        <v>5.625</v>
      </c>
      <c r="AA90" s="7">
        <f>AA2</f>
        <v>150</v>
      </c>
      <c r="AB90" s="36">
        <f t="shared" si="42"/>
        <v>28.504166666666666</v>
      </c>
      <c r="AC90" s="36"/>
      <c r="AD90" s="36"/>
      <c r="AE90" s="36">
        <f>AE3</f>
        <v>40</v>
      </c>
      <c r="AF90" s="7">
        <f>AF3</f>
        <v>32</v>
      </c>
      <c r="AG90" s="36">
        <f>AG3</f>
        <v>430</v>
      </c>
      <c r="AH90" s="41">
        <f t="shared" si="43"/>
        <v>1779.1984307359307</v>
      </c>
      <c r="AI90" s="41">
        <f>AH90/1.05</f>
        <v>1694.4746959389815</v>
      </c>
      <c r="AJ90" s="42">
        <f>AI90-Y3</f>
        <v>1652.6175530818387</v>
      </c>
      <c r="AK90" s="42">
        <f t="shared" si="45"/>
        <v>1868.1583522727274</v>
      </c>
      <c r="AL90" s="14">
        <f t="shared" si="46"/>
        <v>1957.118273809524</v>
      </c>
      <c r="AM90" s="14">
        <f t="shared" si="47"/>
        <v>2046.0781953463202</v>
      </c>
      <c r="AN90" s="14">
        <f t="shared" si="48"/>
        <v>2223.9980384199134</v>
      </c>
    </row>
    <row r="91" spans="1:41" x14ac:dyDescent="0.25">
      <c r="B91" s="6" t="s">
        <v>347</v>
      </c>
      <c r="C91" s="8" t="s">
        <v>135</v>
      </c>
      <c r="D91" s="10"/>
      <c r="E91" s="7" t="s">
        <v>122</v>
      </c>
      <c r="F91" s="7" t="s">
        <v>39</v>
      </c>
      <c r="G91" s="7" t="s">
        <v>46</v>
      </c>
      <c r="H91" s="10" t="s">
        <v>136</v>
      </c>
      <c r="I91" s="46" t="s">
        <v>648</v>
      </c>
      <c r="J91" s="46" t="s">
        <v>660</v>
      </c>
      <c r="K91" s="7" t="s">
        <v>661</v>
      </c>
      <c r="L91" s="7" t="s">
        <v>200</v>
      </c>
      <c r="M91" s="7"/>
      <c r="N91" s="7">
        <v>35</v>
      </c>
      <c r="O91" s="7">
        <v>5</v>
      </c>
      <c r="P91" s="7">
        <v>0</v>
      </c>
      <c r="Q91" s="7">
        <f t="shared" si="49"/>
        <v>175</v>
      </c>
      <c r="R91" s="74">
        <f>U4</f>
        <v>689.28571428571422</v>
      </c>
      <c r="S91" s="74">
        <f t="shared" si="50"/>
        <v>3.9387755102040813</v>
      </c>
      <c r="T91" s="7">
        <v>4</v>
      </c>
      <c r="U91" s="75">
        <f t="shared" si="51"/>
        <v>7.9387755102040813</v>
      </c>
      <c r="V91" s="7">
        <v>780</v>
      </c>
      <c r="W91" s="7"/>
      <c r="X91" s="36">
        <f>X3/6</f>
        <v>71.212121212121204</v>
      </c>
      <c r="Y91" s="36">
        <f>Y3</f>
        <v>41.857142857142854</v>
      </c>
      <c r="Z91" s="36">
        <f>Z3*1.5</f>
        <v>5.625</v>
      </c>
      <c r="AA91" s="7">
        <f>AA2</f>
        <v>150</v>
      </c>
      <c r="AB91" s="36">
        <f t="shared" si="42"/>
        <v>16.671428571428571</v>
      </c>
      <c r="AC91" s="36"/>
      <c r="AD91" s="36"/>
      <c r="AE91" s="36">
        <f>AE3</f>
        <v>40</v>
      </c>
      <c r="AF91" s="7">
        <f>AF3</f>
        <v>32</v>
      </c>
      <c r="AG91" s="36">
        <f>AG3</f>
        <v>430</v>
      </c>
      <c r="AH91" s="41">
        <f t="shared" si="43"/>
        <v>1567.3656926406927</v>
      </c>
      <c r="AI91" s="41">
        <f>AH91/1.05</f>
        <v>1492.7292310863741</v>
      </c>
      <c r="AJ91" s="42">
        <f>AI91-Y3</f>
        <v>1450.8720882292312</v>
      </c>
      <c r="AK91" s="42">
        <f t="shared" si="45"/>
        <v>1645.7339772727273</v>
      </c>
      <c r="AL91" s="14">
        <f t="shared" si="46"/>
        <v>1724.1022619047621</v>
      </c>
      <c r="AM91" s="14">
        <f t="shared" si="47"/>
        <v>1802.4705465367965</v>
      </c>
      <c r="AN91" s="14">
        <f t="shared" si="48"/>
        <v>1959.2071158008659</v>
      </c>
    </row>
    <row r="92" spans="1:41" x14ac:dyDescent="0.25">
      <c r="B92" s="6" t="s">
        <v>348</v>
      </c>
      <c r="C92" s="8" t="s">
        <v>137</v>
      </c>
      <c r="D92" s="10">
        <v>60</v>
      </c>
      <c r="E92" s="7" t="s">
        <v>152</v>
      </c>
      <c r="F92" s="7" t="s">
        <v>198</v>
      </c>
      <c r="G92" s="7" t="s">
        <v>64</v>
      </c>
      <c r="H92" s="10"/>
      <c r="I92" s="46" t="s">
        <v>649</v>
      </c>
      <c r="J92" s="46" t="s">
        <v>662</v>
      </c>
      <c r="K92" s="7" t="s">
        <v>688</v>
      </c>
      <c r="L92" s="7" t="s">
        <v>199</v>
      </c>
      <c r="M92" s="7"/>
      <c r="N92" s="7">
        <v>18</v>
      </c>
      <c r="O92" s="7">
        <v>4</v>
      </c>
      <c r="P92" s="7">
        <v>0</v>
      </c>
      <c r="Q92" s="7">
        <f t="shared" si="49"/>
        <v>72</v>
      </c>
      <c r="R92" s="74">
        <f>U4</f>
        <v>689.28571428571422</v>
      </c>
      <c r="S92" s="74">
        <f t="shared" si="50"/>
        <v>9.5734126984126977</v>
      </c>
      <c r="T92" s="7">
        <v>4</v>
      </c>
      <c r="U92" s="75">
        <f t="shared" si="51"/>
        <v>13.573412698412698</v>
      </c>
      <c r="V92" s="7">
        <v>1161</v>
      </c>
      <c r="W92" s="7"/>
      <c r="X92" s="36">
        <f>X3/6</f>
        <v>71.212121212121204</v>
      </c>
      <c r="Y92" s="36">
        <f>Y3</f>
        <v>41.857142857142854</v>
      </c>
      <c r="Z92" s="36">
        <f>Z3*1.5</f>
        <v>5.625</v>
      </c>
      <c r="AA92" s="7">
        <f>AA2</f>
        <v>150</v>
      </c>
      <c r="AB92" s="36">
        <f t="shared" si="42"/>
        <v>28.504166666666666</v>
      </c>
      <c r="AC92" s="36"/>
      <c r="AD92" s="36"/>
      <c r="AE92" s="36">
        <f>AE3</f>
        <v>40</v>
      </c>
      <c r="AF92" s="7">
        <f>AF3</f>
        <v>32</v>
      </c>
      <c r="AG92" s="36">
        <f>AG3</f>
        <v>430</v>
      </c>
      <c r="AH92" s="41">
        <f t="shared" si="43"/>
        <v>1960.1984307359307</v>
      </c>
      <c r="AI92" s="41">
        <f>AH92/1.05</f>
        <v>1866.8556483199341</v>
      </c>
      <c r="AJ92" s="42">
        <f>AI92-Y3</f>
        <v>1824.9985054627912</v>
      </c>
      <c r="AK92" s="42">
        <f t="shared" si="45"/>
        <v>2058.2083522727276</v>
      </c>
      <c r="AL92" s="14">
        <f t="shared" si="46"/>
        <v>2156.2182738095239</v>
      </c>
      <c r="AM92" s="14">
        <f t="shared" si="47"/>
        <v>2254.2281953463203</v>
      </c>
      <c r="AN92" s="14">
        <f t="shared" si="48"/>
        <v>2450.2480384199134</v>
      </c>
    </row>
    <row r="93" spans="1:41" ht="30" x14ac:dyDescent="0.25">
      <c r="A93" t="s">
        <v>177</v>
      </c>
      <c r="B93" s="6" t="s">
        <v>442</v>
      </c>
      <c r="C93" s="8" t="s">
        <v>443</v>
      </c>
      <c r="D93" s="10"/>
      <c r="E93" s="7" t="s">
        <v>21</v>
      </c>
      <c r="F93" s="7" t="s">
        <v>31</v>
      </c>
      <c r="G93" s="7" t="s">
        <v>14</v>
      </c>
      <c r="H93" s="10" t="s">
        <v>438</v>
      </c>
      <c r="I93" s="46" t="s">
        <v>622</v>
      </c>
      <c r="J93" s="46" t="s">
        <v>439</v>
      </c>
      <c r="K93" s="7" t="s">
        <v>441</v>
      </c>
      <c r="L93" s="7" t="s">
        <v>440</v>
      </c>
      <c r="M93" s="7"/>
      <c r="N93" s="7">
        <v>21</v>
      </c>
      <c r="O93" s="7">
        <v>4</v>
      </c>
      <c r="P93" s="7">
        <v>6</v>
      </c>
      <c r="Q93" s="7">
        <f t="shared" si="49"/>
        <v>90</v>
      </c>
      <c r="R93" s="74">
        <f>U4</f>
        <v>689.28571428571422</v>
      </c>
      <c r="S93" s="74">
        <f t="shared" si="50"/>
        <v>7.6587301587301582</v>
      </c>
      <c r="T93" s="7">
        <v>4</v>
      </c>
      <c r="U93" s="75">
        <f t="shared" si="51"/>
        <v>11.658730158730158</v>
      </c>
      <c r="V93" s="7">
        <v>980</v>
      </c>
      <c r="W93" s="7"/>
      <c r="X93" s="36">
        <f>X3/6</f>
        <v>71.212121212121204</v>
      </c>
      <c r="Y93" s="36">
        <f>Y3</f>
        <v>41.857142857142854</v>
      </c>
      <c r="Z93" s="36">
        <f>Z3*1.5</f>
        <v>5.625</v>
      </c>
      <c r="AA93" s="7">
        <f>AA2</f>
        <v>150</v>
      </c>
      <c r="AB93" s="36">
        <f t="shared" si="42"/>
        <v>24.483333333333334</v>
      </c>
      <c r="AC93" s="36"/>
      <c r="AD93" s="36"/>
      <c r="AE93" s="36">
        <f>AE3</f>
        <v>40</v>
      </c>
      <c r="AF93" s="7">
        <f>AF3</f>
        <v>32</v>
      </c>
      <c r="AG93" s="36">
        <f>AG3</f>
        <v>430</v>
      </c>
      <c r="AH93" s="41">
        <f t="shared" si="43"/>
        <v>1775.1775974025975</v>
      </c>
      <c r="AI93" s="41">
        <f>AH93/1.05</f>
        <v>1690.6453308596165</v>
      </c>
      <c r="AJ93" s="42">
        <f>AI93-Y3</f>
        <v>1648.7881880024736</v>
      </c>
      <c r="AK93" s="42">
        <f t="shared" si="45"/>
        <v>1863.9364772727274</v>
      </c>
      <c r="AL93" s="14">
        <f t="shared" si="46"/>
        <v>1952.6953571428573</v>
      </c>
      <c r="AM93" s="14">
        <f t="shared" si="47"/>
        <v>2041.4542370129871</v>
      </c>
      <c r="AN93" s="14">
        <f t="shared" si="48"/>
        <v>2218.9719967532469</v>
      </c>
      <c r="AO93" s="79" t="s">
        <v>177</v>
      </c>
    </row>
    <row r="94" spans="1:41" s="31" customFormat="1" x14ac:dyDescent="0.25">
      <c r="B94" s="26"/>
      <c r="C94" s="27"/>
      <c r="D94" s="29"/>
      <c r="E94" s="28"/>
      <c r="F94" s="28"/>
      <c r="G94" s="28"/>
      <c r="H94" s="29"/>
      <c r="I94" s="29"/>
      <c r="J94" s="47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37"/>
      <c r="Y94" s="37"/>
      <c r="Z94" s="37"/>
      <c r="AA94" s="28"/>
      <c r="AB94" s="37"/>
      <c r="AC94" s="37"/>
      <c r="AD94" s="37"/>
      <c r="AE94" s="37"/>
      <c r="AF94" s="28"/>
      <c r="AG94" s="37"/>
      <c r="AH94" s="43"/>
      <c r="AI94" s="43"/>
      <c r="AJ94" s="42"/>
      <c r="AK94" s="42"/>
      <c r="AL94" s="30"/>
      <c r="AM94" s="30"/>
      <c r="AN94" s="30"/>
      <c r="AO94" s="80"/>
    </row>
    <row r="95" spans="1:41" x14ac:dyDescent="0.25">
      <c r="B95" s="17" t="s">
        <v>142</v>
      </c>
      <c r="C95" s="18"/>
      <c r="D95" s="20"/>
      <c r="E95" s="19"/>
      <c r="F95" s="19"/>
      <c r="G95" s="19"/>
      <c r="H95" s="20"/>
      <c r="I95" s="20"/>
      <c r="J95" s="2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34"/>
      <c r="Y95" s="34"/>
      <c r="Z95" s="34"/>
      <c r="AA95" s="19"/>
      <c r="AB95" s="34"/>
      <c r="AC95" s="34"/>
      <c r="AD95" s="34"/>
      <c r="AE95" s="34"/>
      <c r="AF95" s="19"/>
      <c r="AG95" s="34"/>
      <c r="AH95" s="40"/>
      <c r="AI95" s="40"/>
      <c r="AJ95" s="40"/>
      <c r="AK95" s="40"/>
      <c r="AL95" s="19"/>
      <c r="AM95" s="19"/>
      <c r="AN95" s="19"/>
    </row>
    <row r="96" spans="1:41" ht="90" x14ac:dyDescent="0.25">
      <c r="B96" s="6" t="s">
        <v>352</v>
      </c>
      <c r="C96" s="8" t="s">
        <v>213</v>
      </c>
      <c r="D96" s="10">
        <v>66</v>
      </c>
      <c r="E96" s="7" t="s">
        <v>138</v>
      </c>
      <c r="F96" s="7" t="s">
        <v>53</v>
      </c>
      <c r="G96" s="7" t="s">
        <v>54</v>
      </c>
      <c r="H96" s="10" t="s">
        <v>139</v>
      </c>
      <c r="I96" s="46" t="s">
        <v>663</v>
      </c>
      <c r="J96" s="46" t="s">
        <v>667</v>
      </c>
      <c r="K96" s="7" t="s">
        <v>140</v>
      </c>
      <c r="L96" s="7" t="s">
        <v>141</v>
      </c>
      <c r="M96" s="7"/>
      <c r="N96" s="7">
        <v>25</v>
      </c>
      <c r="O96" s="7">
        <v>3</v>
      </c>
      <c r="P96" s="7">
        <v>0</v>
      </c>
      <c r="Q96" s="7">
        <f t="shared" ref="Q96:Q105" si="52">(N96*O96)+P96</f>
        <v>75</v>
      </c>
      <c r="R96" s="74">
        <f>U4</f>
        <v>689.28571428571422</v>
      </c>
      <c r="S96" s="74">
        <f t="shared" ref="S96:S105" si="53">R96/Q96</f>
        <v>9.1904761904761898</v>
      </c>
      <c r="T96" s="7">
        <v>4</v>
      </c>
      <c r="U96" s="75">
        <f t="shared" ref="U96:U105" si="54">T96+S96</f>
        <v>13.19047619047619</v>
      </c>
      <c r="V96" s="7">
        <v>1130</v>
      </c>
      <c r="W96" s="7"/>
      <c r="X96" s="36">
        <f>X3/6</f>
        <v>71.212121212121204</v>
      </c>
      <c r="Y96" s="36">
        <f>Y3</f>
        <v>41.857142857142854</v>
      </c>
      <c r="Z96" s="36">
        <f>Z3*1.5</f>
        <v>5.625</v>
      </c>
      <c r="AA96" s="7">
        <f>AA2</f>
        <v>150</v>
      </c>
      <c r="AB96" s="36">
        <f>U96*2.1</f>
        <v>27.7</v>
      </c>
      <c r="AC96" s="36"/>
      <c r="AD96" s="36"/>
      <c r="AE96" s="36">
        <f>AE3</f>
        <v>40</v>
      </c>
      <c r="AF96" s="7">
        <f>AF3</f>
        <v>32</v>
      </c>
      <c r="AG96" s="36">
        <f>AG3</f>
        <v>430</v>
      </c>
      <c r="AH96" s="41">
        <f t="shared" ref="AH96:AH105" si="55">V96+X96+Y96+Z96+AA96+AB96+AC96+AD96+AE96+AF96+AG96</f>
        <v>1928.3942640692642</v>
      </c>
      <c r="AI96" s="41">
        <f>AH96/1.05</f>
        <v>1836.5659657802514</v>
      </c>
      <c r="AJ96" s="42">
        <f>AI96-Y3</f>
        <v>1794.7088229231085</v>
      </c>
      <c r="AK96" s="42">
        <f t="shared" ref="AK96:AK105" si="56">AH96*1.05</f>
        <v>2024.8139772727275</v>
      </c>
      <c r="AL96" s="14">
        <f t="shared" ref="AL96:AL105" si="57">AH96*1.1</f>
        <v>2121.233690476191</v>
      </c>
      <c r="AM96" s="14">
        <f t="shared" ref="AM96:AM105" si="58">AH96*1.15</f>
        <v>2217.6534036796538</v>
      </c>
      <c r="AN96" s="14">
        <f t="shared" ref="AN96:AN105" si="59">AH96*1.25</f>
        <v>2410.4928300865804</v>
      </c>
    </row>
    <row r="97" spans="1:40" x14ac:dyDescent="0.25">
      <c r="B97" s="6" t="s">
        <v>353</v>
      </c>
      <c r="C97" s="8" t="s">
        <v>143</v>
      </c>
      <c r="D97" s="10"/>
      <c r="E97" s="7" t="s">
        <v>144</v>
      </c>
      <c r="F97" s="7" t="s">
        <v>145</v>
      </c>
      <c r="G97" s="7" t="s">
        <v>54</v>
      </c>
      <c r="H97" s="10">
        <v>377819638</v>
      </c>
      <c r="I97" s="46" t="s">
        <v>664</v>
      </c>
      <c r="J97" s="46" t="s">
        <v>668</v>
      </c>
      <c r="K97" s="7" t="s">
        <v>146</v>
      </c>
      <c r="L97" s="7" t="s">
        <v>147</v>
      </c>
      <c r="M97" s="7"/>
      <c r="N97" s="7">
        <v>25</v>
      </c>
      <c r="O97" s="7">
        <v>3</v>
      </c>
      <c r="P97" s="7">
        <v>0</v>
      </c>
      <c r="Q97" s="7">
        <f t="shared" si="52"/>
        <v>75</v>
      </c>
      <c r="R97" s="74">
        <f>U4</f>
        <v>689.28571428571422</v>
      </c>
      <c r="S97" s="74">
        <f t="shared" si="53"/>
        <v>9.1904761904761898</v>
      </c>
      <c r="T97" s="7">
        <v>4</v>
      </c>
      <c r="U97" s="75">
        <f t="shared" si="54"/>
        <v>13.19047619047619</v>
      </c>
      <c r="V97" s="7">
        <v>1097</v>
      </c>
      <c r="W97" s="7"/>
      <c r="X97" s="36">
        <f>X3/6</f>
        <v>71.212121212121204</v>
      </c>
      <c r="Y97" s="36">
        <f>Y3</f>
        <v>41.857142857142854</v>
      </c>
      <c r="Z97" s="36">
        <f>Z3*1.5</f>
        <v>5.625</v>
      </c>
      <c r="AA97" s="7">
        <f>AA2</f>
        <v>150</v>
      </c>
      <c r="AB97" s="36">
        <f>U97*2.1</f>
        <v>27.7</v>
      </c>
      <c r="AC97" s="36"/>
      <c r="AD97" s="36">
        <f>AD2/5.5</f>
        <v>181.81818181818181</v>
      </c>
      <c r="AE97" s="36">
        <f>AE3</f>
        <v>40</v>
      </c>
      <c r="AF97" s="7">
        <f>AF3</f>
        <v>32</v>
      </c>
      <c r="AG97" s="36">
        <f>AG3</f>
        <v>430</v>
      </c>
      <c r="AH97" s="41">
        <f t="shared" si="55"/>
        <v>2077.2124458874459</v>
      </c>
      <c r="AI97" s="41">
        <f>AH97/1.05</f>
        <v>1978.2975675118532</v>
      </c>
      <c r="AJ97" s="42">
        <f>AI97-Y3</f>
        <v>1936.4404246547103</v>
      </c>
      <c r="AK97" s="42">
        <f t="shared" si="56"/>
        <v>2181.0730681818181</v>
      </c>
      <c r="AL97" s="14">
        <f t="shared" si="57"/>
        <v>2284.9336904761908</v>
      </c>
      <c r="AM97" s="14">
        <f t="shared" si="58"/>
        <v>2388.7943127705626</v>
      </c>
      <c r="AN97" s="14">
        <f t="shared" si="59"/>
        <v>2596.5155573593074</v>
      </c>
    </row>
    <row r="98" spans="1:40" ht="30" x14ac:dyDescent="0.25">
      <c r="B98" s="6" t="s">
        <v>354</v>
      </c>
      <c r="C98" s="8" t="s">
        <v>179</v>
      </c>
      <c r="D98" s="10">
        <v>60</v>
      </c>
      <c r="E98" s="7" t="s">
        <v>148</v>
      </c>
      <c r="F98" s="7" t="s">
        <v>73</v>
      </c>
      <c r="G98" s="7" t="s">
        <v>101</v>
      </c>
      <c r="H98" s="10" t="s">
        <v>149</v>
      </c>
      <c r="I98" s="46" t="s">
        <v>665</v>
      </c>
      <c r="J98" s="46" t="s">
        <v>672</v>
      </c>
      <c r="K98" s="7" t="s">
        <v>150</v>
      </c>
      <c r="L98" s="7" t="s">
        <v>151</v>
      </c>
      <c r="M98" s="7"/>
      <c r="N98" s="7">
        <v>21</v>
      </c>
      <c r="O98" s="7">
        <v>3</v>
      </c>
      <c r="P98" s="7">
        <v>11</v>
      </c>
      <c r="Q98" s="7">
        <f t="shared" si="52"/>
        <v>74</v>
      </c>
      <c r="R98" s="74">
        <f>U4</f>
        <v>689.28571428571422</v>
      </c>
      <c r="S98" s="74">
        <f t="shared" si="53"/>
        <v>9.3146718146718133</v>
      </c>
      <c r="T98" s="7">
        <v>4</v>
      </c>
      <c r="U98" s="75">
        <f t="shared" si="54"/>
        <v>13.314671814671813</v>
      </c>
      <c r="V98" s="7">
        <v>1123</v>
      </c>
      <c r="W98" s="7"/>
      <c r="X98" s="36">
        <f>X3/6</f>
        <v>71.212121212121204</v>
      </c>
      <c r="Y98" s="36">
        <f>Y3</f>
        <v>41.857142857142854</v>
      </c>
      <c r="Z98" s="36">
        <f>Z3*1.5</f>
        <v>5.625</v>
      </c>
      <c r="AA98" s="7">
        <f>AA2</f>
        <v>150</v>
      </c>
      <c r="AB98" s="36">
        <f>U98*2.1</f>
        <v>27.960810810810809</v>
      </c>
      <c r="AC98" s="36"/>
      <c r="AD98" s="36"/>
      <c r="AE98" s="36">
        <f>AE3</f>
        <v>40</v>
      </c>
      <c r="AF98" s="7">
        <f>AF3</f>
        <v>32</v>
      </c>
      <c r="AG98" s="36">
        <f>AG3</f>
        <v>430</v>
      </c>
      <c r="AH98" s="41">
        <f t="shared" si="55"/>
        <v>1921.6550748800748</v>
      </c>
      <c r="AI98" s="41">
        <f>AH98/1.05</f>
        <v>1830.1476903619759</v>
      </c>
      <c r="AJ98" s="42">
        <f>AI98-Y3</f>
        <v>1788.2905475048331</v>
      </c>
      <c r="AK98" s="42">
        <f t="shared" si="56"/>
        <v>2017.7378286240787</v>
      </c>
      <c r="AL98" s="14">
        <f t="shared" si="57"/>
        <v>2113.8205823680823</v>
      </c>
      <c r="AM98" s="14">
        <f t="shared" si="58"/>
        <v>2209.903336112086</v>
      </c>
      <c r="AN98" s="14">
        <f t="shared" si="59"/>
        <v>2402.0688436000937</v>
      </c>
    </row>
    <row r="99" spans="1:40" ht="30" x14ac:dyDescent="0.25">
      <c r="B99" s="6" t="s">
        <v>355</v>
      </c>
      <c r="C99" s="50" t="s">
        <v>224</v>
      </c>
      <c r="D99" s="51">
        <v>44</v>
      </c>
      <c r="E99" s="49" t="s">
        <v>20</v>
      </c>
      <c r="F99" s="55" t="s">
        <v>225</v>
      </c>
      <c r="G99" s="56" t="s">
        <v>226</v>
      </c>
      <c r="H99" s="51" t="s">
        <v>227</v>
      </c>
      <c r="I99" s="52" t="s">
        <v>666</v>
      </c>
      <c r="J99" s="52" t="s">
        <v>673</v>
      </c>
      <c r="K99" s="52" t="s">
        <v>228</v>
      </c>
      <c r="L99" s="52" t="s">
        <v>229</v>
      </c>
      <c r="M99" s="52"/>
      <c r="N99" s="7">
        <v>18</v>
      </c>
      <c r="O99" s="7">
        <v>3</v>
      </c>
      <c r="P99" s="7">
        <v>4</v>
      </c>
      <c r="Q99" s="7">
        <f t="shared" si="52"/>
        <v>58</v>
      </c>
      <c r="R99" s="74">
        <f>U4</f>
        <v>689.28571428571422</v>
      </c>
      <c r="S99" s="74">
        <f t="shared" si="53"/>
        <v>11.88423645320197</v>
      </c>
      <c r="T99" s="7">
        <v>4</v>
      </c>
      <c r="U99" s="75">
        <f t="shared" si="54"/>
        <v>15.88423645320197</v>
      </c>
      <c r="V99" s="7">
        <v>1126</v>
      </c>
      <c r="W99" s="7"/>
      <c r="X99" s="36">
        <f>X3/3</f>
        <v>142.42424242424241</v>
      </c>
      <c r="Y99" s="36">
        <f>Y3</f>
        <v>41.857142857142854</v>
      </c>
      <c r="Z99" s="36">
        <f>Z3*1.5</f>
        <v>5.625</v>
      </c>
      <c r="AA99" s="7">
        <f>AA2*3.5</f>
        <v>525</v>
      </c>
      <c r="AB99" s="36">
        <f>(U99+U100+U101)*1.3</f>
        <v>48.460856986472749</v>
      </c>
      <c r="AC99" s="36">
        <v>300</v>
      </c>
      <c r="AD99" s="36">
        <f>AD2/8</f>
        <v>125</v>
      </c>
      <c r="AE99" s="36">
        <f>AE3</f>
        <v>40</v>
      </c>
      <c r="AF99" s="7">
        <f>AF3</f>
        <v>32</v>
      </c>
      <c r="AG99" s="36">
        <f>AG3*1.5</f>
        <v>645</v>
      </c>
      <c r="AH99" s="41">
        <f t="shared" si="55"/>
        <v>3031.3672422678583</v>
      </c>
      <c r="AI99" s="41">
        <f>AH99/1.05</f>
        <v>2887.0164212074837</v>
      </c>
      <c r="AJ99" s="42">
        <f>AI99-Y3</f>
        <v>2845.1592783503411</v>
      </c>
      <c r="AK99" s="42">
        <f t="shared" si="56"/>
        <v>3182.9356043812513</v>
      </c>
      <c r="AL99" s="14">
        <f t="shared" si="57"/>
        <v>3334.5039664946444</v>
      </c>
      <c r="AM99" s="14">
        <f t="shared" si="58"/>
        <v>3486.072328608037</v>
      </c>
      <c r="AN99" s="14">
        <f t="shared" si="59"/>
        <v>3789.2090528348226</v>
      </c>
    </row>
    <row r="100" spans="1:40" x14ac:dyDescent="0.25">
      <c r="B100" s="6"/>
      <c r="C100" s="50"/>
      <c r="D100" s="51"/>
      <c r="E100" s="49"/>
      <c r="F100" s="55"/>
      <c r="G100" s="56"/>
      <c r="H100" s="51"/>
      <c r="I100" s="52"/>
      <c r="J100" s="52"/>
      <c r="K100" s="52"/>
      <c r="L100" s="52"/>
      <c r="M100" s="52"/>
      <c r="N100" s="7">
        <v>18</v>
      </c>
      <c r="O100" s="7">
        <v>4</v>
      </c>
      <c r="P100" s="7">
        <v>15</v>
      </c>
      <c r="Q100" s="7">
        <f t="shared" si="52"/>
        <v>87</v>
      </c>
      <c r="R100" s="74">
        <f>U4</f>
        <v>689.28571428571422</v>
      </c>
      <c r="S100" s="74">
        <f t="shared" si="53"/>
        <v>7.9228243021346465</v>
      </c>
      <c r="T100" s="7">
        <v>4</v>
      </c>
      <c r="U100" s="75">
        <f t="shared" si="54"/>
        <v>11.922824302134647</v>
      </c>
      <c r="V100" s="7"/>
      <c r="W100" s="7"/>
      <c r="X100" s="36"/>
      <c r="Y100" s="36"/>
      <c r="Z100" s="36"/>
      <c r="AA100" s="7"/>
      <c r="AB100" s="36"/>
      <c r="AC100" s="36"/>
      <c r="AD100" s="36"/>
      <c r="AE100" s="36"/>
      <c r="AF100" s="7"/>
      <c r="AG100" s="36"/>
      <c r="AH100" s="41"/>
      <c r="AI100" s="41"/>
      <c r="AJ100" s="42"/>
      <c r="AK100" s="42" t="s">
        <v>177</v>
      </c>
      <c r="AL100" s="14"/>
      <c r="AM100" s="14" t="s">
        <v>177</v>
      </c>
      <c r="AN100" s="14"/>
    </row>
    <row r="101" spans="1:40" x14ac:dyDescent="0.25">
      <c r="B101" s="6"/>
      <c r="C101" s="50"/>
      <c r="D101" s="51"/>
      <c r="E101" s="49"/>
      <c r="F101" s="55"/>
      <c r="G101" s="56"/>
      <c r="H101" s="51"/>
      <c r="I101" s="52"/>
      <c r="J101" s="52"/>
      <c r="K101" s="52"/>
      <c r="L101" s="52"/>
      <c r="M101" s="52"/>
      <c r="N101" s="7">
        <v>18</v>
      </c>
      <c r="O101" s="7">
        <v>7</v>
      </c>
      <c r="P101" s="7">
        <v>0</v>
      </c>
      <c r="Q101" s="7">
        <f t="shared" si="52"/>
        <v>126</v>
      </c>
      <c r="R101" s="74">
        <f>U4</f>
        <v>689.28571428571422</v>
      </c>
      <c r="S101" s="74">
        <f t="shared" si="53"/>
        <v>5.470521541950113</v>
      </c>
      <c r="T101" s="7">
        <v>4</v>
      </c>
      <c r="U101" s="75">
        <f t="shared" si="54"/>
        <v>9.470521541950113</v>
      </c>
      <c r="V101" s="7"/>
      <c r="W101" s="7"/>
      <c r="X101" s="36"/>
      <c r="Y101" s="36"/>
      <c r="Z101" s="36"/>
      <c r="AA101" s="7"/>
      <c r="AB101" s="36"/>
      <c r="AC101" s="36"/>
      <c r="AD101" s="36"/>
      <c r="AE101" s="36"/>
      <c r="AF101" s="7"/>
      <c r="AG101" s="36"/>
      <c r="AH101" s="41"/>
      <c r="AI101" s="41"/>
      <c r="AJ101" s="42"/>
      <c r="AK101" s="42" t="s">
        <v>177</v>
      </c>
      <c r="AL101" s="14"/>
      <c r="AM101" s="14" t="s">
        <v>177</v>
      </c>
      <c r="AN101" s="14"/>
    </row>
    <row r="102" spans="1:40" ht="30" x14ac:dyDescent="0.25">
      <c r="B102" s="6" t="s">
        <v>356</v>
      </c>
      <c r="C102" s="8" t="s">
        <v>153</v>
      </c>
      <c r="D102" s="10"/>
      <c r="E102" s="7" t="s">
        <v>154</v>
      </c>
      <c r="F102" s="7" t="s">
        <v>155</v>
      </c>
      <c r="G102" s="7" t="s">
        <v>14</v>
      </c>
      <c r="H102" s="10" t="s">
        <v>156</v>
      </c>
      <c r="I102" s="46" t="s">
        <v>669</v>
      </c>
      <c r="J102" s="46" t="s">
        <v>674</v>
      </c>
      <c r="K102" s="7" t="s">
        <v>675</v>
      </c>
      <c r="L102" s="7" t="s">
        <v>157</v>
      </c>
      <c r="M102" s="7"/>
      <c r="N102" s="7">
        <v>21</v>
      </c>
      <c r="O102" s="7">
        <v>3</v>
      </c>
      <c r="P102" s="7">
        <v>6</v>
      </c>
      <c r="Q102" s="7">
        <f t="shared" si="52"/>
        <v>69</v>
      </c>
      <c r="R102" s="74">
        <f>U4</f>
        <v>689.28571428571422</v>
      </c>
      <c r="S102" s="74">
        <f t="shared" si="53"/>
        <v>9.9896480331262936</v>
      </c>
      <c r="T102" s="7">
        <v>4</v>
      </c>
      <c r="U102" s="75">
        <f t="shared" si="54"/>
        <v>13.989648033126294</v>
      </c>
      <c r="V102" s="7">
        <v>1130</v>
      </c>
      <c r="W102" s="7"/>
      <c r="X102" s="36">
        <f>X3/6</f>
        <v>71.212121212121204</v>
      </c>
      <c r="Y102" s="36">
        <f>Y3</f>
        <v>41.857142857142854</v>
      </c>
      <c r="Z102" s="36">
        <f>Z3*1.5</f>
        <v>5.625</v>
      </c>
      <c r="AA102" s="7">
        <f>AA2</f>
        <v>150</v>
      </c>
      <c r="AB102" s="36">
        <f>U102*2.1</f>
        <v>29.378260869565217</v>
      </c>
      <c r="AC102" s="36"/>
      <c r="AD102" s="36"/>
      <c r="AE102" s="36">
        <f>AE3</f>
        <v>40</v>
      </c>
      <c r="AF102" s="7">
        <f>AF3</f>
        <v>32</v>
      </c>
      <c r="AG102" s="36">
        <f>AG3</f>
        <v>430</v>
      </c>
      <c r="AH102" s="41">
        <f t="shared" si="55"/>
        <v>1930.0725249388292</v>
      </c>
      <c r="AI102" s="41">
        <f>AH102/1.05</f>
        <v>1838.1643094655517</v>
      </c>
      <c r="AJ102" s="42">
        <f>AI102-Y3</f>
        <v>1796.3071666084088</v>
      </c>
      <c r="AK102" s="42">
        <f t="shared" si="56"/>
        <v>2026.5761511857709</v>
      </c>
      <c r="AL102" s="14">
        <f t="shared" si="57"/>
        <v>2123.0797774327125</v>
      </c>
      <c r="AM102" s="14">
        <f t="shared" si="58"/>
        <v>2219.5834036796537</v>
      </c>
      <c r="AN102" s="14">
        <f t="shared" si="59"/>
        <v>2412.5906561735364</v>
      </c>
    </row>
    <row r="103" spans="1:40" x14ac:dyDescent="0.25">
      <c r="B103" s="6" t="s">
        <v>357</v>
      </c>
      <c r="C103" s="8" t="s">
        <v>192</v>
      </c>
      <c r="D103" s="10"/>
      <c r="E103" s="7" t="s">
        <v>233</v>
      </c>
      <c r="F103" s="7" t="s">
        <v>234</v>
      </c>
      <c r="G103" s="7" t="s">
        <v>64</v>
      </c>
      <c r="H103" s="10"/>
      <c r="I103" s="46" t="s">
        <v>670</v>
      </c>
      <c r="J103" s="46"/>
      <c r="K103" s="7"/>
      <c r="L103" s="7"/>
      <c r="M103" s="7"/>
      <c r="N103" s="7">
        <v>18</v>
      </c>
      <c r="O103" s="7">
        <v>4</v>
      </c>
      <c r="P103" s="7">
        <v>0</v>
      </c>
      <c r="Q103" s="7">
        <f t="shared" si="52"/>
        <v>72</v>
      </c>
      <c r="R103" s="74">
        <f>U4</f>
        <v>689.28571428571422</v>
      </c>
      <c r="S103" s="74">
        <f t="shared" si="53"/>
        <v>9.5734126984126977</v>
      </c>
      <c r="T103" s="7">
        <v>4</v>
      </c>
      <c r="U103" s="75">
        <f t="shared" si="54"/>
        <v>13.573412698412698</v>
      </c>
      <c r="V103" s="7">
        <v>800</v>
      </c>
      <c r="W103" s="7"/>
      <c r="X103" s="36">
        <f>X3/6</f>
        <v>71.212121212121204</v>
      </c>
      <c r="Y103" s="36">
        <f>Y3</f>
        <v>41.857142857142854</v>
      </c>
      <c r="Z103" s="36">
        <f>Z3*1.5</f>
        <v>5.625</v>
      </c>
      <c r="AA103" s="7">
        <f>AA2*2</f>
        <v>300</v>
      </c>
      <c r="AB103" s="36">
        <f>U103*2.1</f>
        <v>28.504166666666666</v>
      </c>
      <c r="AC103" s="36"/>
      <c r="AD103" s="36">
        <f>AD2/10</f>
        <v>100</v>
      </c>
      <c r="AE103" s="36">
        <f>AE3</f>
        <v>40</v>
      </c>
      <c r="AF103" s="7">
        <f>AF3</f>
        <v>32</v>
      </c>
      <c r="AG103" s="36">
        <f>AG3</f>
        <v>430</v>
      </c>
      <c r="AH103" s="41">
        <f t="shared" si="55"/>
        <v>1849.1984307359307</v>
      </c>
      <c r="AI103" s="41">
        <f>AH103/1.05</f>
        <v>1761.1413626056483</v>
      </c>
      <c r="AJ103" s="42">
        <f>AI103-Y3</f>
        <v>1719.2842197485054</v>
      </c>
      <c r="AK103" s="42">
        <f t="shared" si="56"/>
        <v>1941.6583522727274</v>
      </c>
      <c r="AL103" s="14">
        <f t="shared" si="57"/>
        <v>2034.118273809524</v>
      </c>
      <c r="AM103" s="14">
        <f t="shared" si="58"/>
        <v>2126.5781953463202</v>
      </c>
      <c r="AN103" s="14">
        <f t="shared" si="59"/>
        <v>2311.4980384199134</v>
      </c>
    </row>
    <row r="104" spans="1:40" x14ac:dyDescent="0.25">
      <c r="B104" s="6" t="s">
        <v>358</v>
      </c>
      <c r="C104" s="8" t="s">
        <v>158</v>
      </c>
      <c r="D104" s="10">
        <v>62</v>
      </c>
      <c r="E104" s="7" t="s">
        <v>159</v>
      </c>
      <c r="F104" s="7" t="s">
        <v>160</v>
      </c>
      <c r="G104" s="7" t="s">
        <v>64</v>
      </c>
      <c r="H104" s="10"/>
      <c r="I104" s="46" t="s">
        <v>677</v>
      </c>
      <c r="J104" s="46" t="s">
        <v>676</v>
      </c>
      <c r="K104" s="7" t="s">
        <v>678</v>
      </c>
      <c r="L104" s="7" t="s">
        <v>161</v>
      </c>
      <c r="M104" s="7"/>
      <c r="N104" s="7">
        <v>18</v>
      </c>
      <c r="O104" s="7">
        <v>3</v>
      </c>
      <c r="P104" s="7">
        <v>8</v>
      </c>
      <c r="Q104" s="7">
        <f t="shared" si="52"/>
        <v>62</v>
      </c>
      <c r="R104" s="74">
        <f>U4</f>
        <v>689.28571428571422</v>
      </c>
      <c r="S104" s="74">
        <f t="shared" si="53"/>
        <v>11.117511520737326</v>
      </c>
      <c r="T104" s="7">
        <v>4</v>
      </c>
      <c r="U104" s="75">
        <f t="shared" si="54"/>
        <v>15.117511520737326</v>
      </c>
      <c r="V104" s="7">
        <v>1161</v>
      </c>
      <c r="W104" s="7"/>
      <c r="X104" s="36">
        <f>X3/6</f>
        <v>71.212121212121204</v>
      </c>
      <c r="Y104" s="36">
        <f>Y3</f>
        <v>41.857142857142854</v>
      </c>
      <c r="Z104" s="36">
        <f>Z3*1.5</f>
        <v>5.625</v>
      </c>
      <c r="AA104" s="7">
        <f>AA2</f>
        <v>150</v>
      </c>
      <c r="AB104" s="36">
        <f>U104*2.1</f>
        <v>31.746774193548386</v>
      </c>
      <c r="AC104" s="36"/>
      <c r="AD104" s="36"/>
      <c r="AE104" s="36">
        <f>AE3</f>
        <v>40</v>
      </c>
      <c r="AF104" s="7">
        <f>AF3</f>
        <v>32</v>
      </c>
      <c r="AG104" s="36">
        <f>AG3</f>
        <v>430</v>
      </c>
      <c r="AH104" s="41">
        <f t="shared" si="55"/>
        <v>1963.4410382628125</v>
      </c>
      <c r="AI104" s="41">
        <f>AH104/1.05</f>
        <v>1869.9438459645833</v>
      </c>
      <c r="AJ104" s="42">
        <f>AI104-Y3</f>
        <v>1828.0867031074404</v>
      </c>
      <c r="AK104" s="42">
        <f t="shared" si="56"/>
        <v>2061.6130901759534</v>
      </c>
      <c r="AL104" s="14">
        <f t="shared" si="57"/>
        <v>2159.7851420890938</v>
      </c>
      <c r="AM104" s="14">
        <f t="shared" si="58"/>
        <v>2257.9571940022342</v>
      </c>
      <c r="AN104" s="14">
        <f t="shared" si="59"/>
        <v>2454.3012978285155</v>
      </c>
    </row>
    <row r="105" spans="1:40" x14ac:dyDescent="0.25">
      <c r="A105" t="s">
        <v>177</v>
      </c>
      <c r="B105" s="6" t="s">
        <v>465</v>
      </c>
      <c r="C105" s="8" t="s">
        <v>466</v>
      </c>
      <c r="D105" s="10"/>
      <c r="E105" s="7" t="s">
        <v>413</v>
      </c>
      <c r="F105" s="7" t="s">
        <v>467</v>
      </c>
      <c r="G105" s="7" t="s">
        <v>14</v>
      </c>
      <c r="H105" s="10" t="s">
        <v>468</v>
      </c>
      <c r="I105" s="46" t="s">
        <v>671</v>
      </c>
      <c r="J105" s="46" t="s">
        <v>469</v>
      </c>
      <c r="K105" s="7" t="s">
        <v>688</v>
      </c>
      <c r="L105" s="7" t="s">
        <v>470</v>
      </c>
      <c r="M105" s="7"/>
      <c r="N105" s="7">
        <v>21</v>
      </c>
      <c r="O105" s="7">
        <v>3</v>
      </c>
      <c r="P105" s="7">
        <v>11</v>
      </c>
      <c r="Q105" s="7">
        <f t="shared" si="52"/>
        <v>74</v>
      </c>
      <c r="R105" s="74">
        <f>U4</f>
        <v>689.28571428571422</v>
      </c>
      <c r="S105" s="74">
        <f t="shared" si="53"/>
        <v>9.3146718146718133</v>
      </c>
      <c r="T105" s="7">
        <v>4</v>
      </c>
      <c r="U105" s="75">
        <f t="shared" si="54"/>
        <v>13.314671814671813</v>
      </c>
      <c r="V105" s="7">
        <v>1123</v>
      </c>
      <c r="W105" s="7"/>
      <c r="X105" s="36">
        <f>X3/6</f>
        <v>71.212121212121204</v>
      </c>
      <c r="Y105" s="36">
        <f>Y3</f>
        <v>41.857142857142854</v>
      </c>
      <c r="Z105" s="36">
        <f>Z3*1.5</f>
        <v>5.625</v>
      </c>
      <c r="AA105" s="7">
        <f>AA2</f>
        <v>150</v>
      </c>
      <c r="AB105" s="36">
        <f>U105*2.1</f>
        <v>27.960810810810809</v>
      </c>
      <c r="AC105" s="36"/>
      <c r="AD105" s="36"/>
      <c r="AE105" s="36">
        <f>AE3</f>
        <v>40</v>
      </c>
      <c r="AF105" s="7">
        <f>AF3</f>
        <v>32</v>
      </c>
      <c r="AG105" s="36">
        <f>AG3*1.3</f>
        <v>559</v>
      </c>
      <c r="AH105" s="41">
        <f t="shared" si="55"/>
        <v>2050.6550748800746</v>
      </c>
      <c r="AI105" s="41">
        <f>AH105/1.05</f>
        <v>1953.0048332191186</v>
      </c>
      <c r="AJ105" s="42">
        <f>AI105-Y3</f>
        <v>1911.1476903619757</v>
      </c>
      <c r="AK105" s="42">
        <f t="shared" si="56"/>
        <v>2153.1878286240785</v>
      </c>
      <c r="AL105" s="14">
        <f t="shared" si="57"/>
        <v>2255.7205823680824</v>
      </c>
      <c r="AM105" s="14">
        <f t="shared" si="58"/>
        <v>2358.2533361120854</v>
      </c>
      <c r="AN105" s="14">
        <f t="shared" si="59"/>
        <v>2563.3188436000933</v>
      </c>
    </row>
    <row r="106" spans="1:40" x14ac:dyDescent="0.25">
      <c r="B106" s="2"/>
      <c r="C106" s="4"/>
      <c r="D106" s="5"/>
      <c r="E106" s="3"/>
      <c r="F106" s="3"/>
      <c r="G106" s="3"/>
      <c r="H106" s="5"/>
      <c r="I106" s="5"/>
      <c r="J106" s="1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5"/>
      <c r="Y106" s="35"/>
      <c r="Z106" s="35"/>
      <c r="AA106" s="3"/>
      <c r="AB106" s="35"/>
      <c r="AC106" s="35"/>
      <c r="AD106" s="35"/>
      <c r="AE106" s="35"/>
      <c r="AF106" s="3"/>
      <c r="AG106" s="35"/>
      <c r="AH106" s="42"/>
      <c r="AI106" s="42"/>
      <c r="AJ106" s="42"/>
      <c r="AK106" s="42"/>
      <c r="AL106" s="3"/>
      <c r="AM106" s="3"/>
      <c r="AN106" s="23"/>
    </row>
    <row r="107" spans="1:40" x14ac:dyDescent="0.25">
      <c r="B107" s="24" t="s">
        <v>162</v>
      </c>
      <c r="C107" s="18"/>
      <c r="D107" s="20"/>
      <c r="E107" s="19"/>
      <c r="F107" s="19"/>
      <c r="G107" s="19"/>
      <c r="H107" s="20"/>
      <c r="I107" s="20"/>
      <c r="J107" s="2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34"/>
      <c r="Y107" s="34"/>
      <c r="Z107" s="34"/>
      <c r="AA107" s="19"/>
      <c r="AB107" s="34"/>
      <c r="AC107" s="34"/>
      <c r="AD107" s="34"/>
      <c r="AE107" s="34"/>
      <c r="AF107" s="19"/>
      <c r="AG107" s="34"/>
      <c r="AH107" s="40"/>
      <c r="AI107" s="40"/>
      <c r="AJ107" s="40"/>
      <c r="AK107" s="40"/>
      <c r="AL107" s="19"/>
      <c r="AM107" s="19"/>
      <c r="AN107" s="19"/>
    </row>
    <row r="108" spans="1:40" ht="30" x14ac:dyDescent="0.25">
      <c r="B108" s="6" t="s">
        <v>359</v>
      </c>
      <c r="C108" s="8" t="s">
        <v>276</v>
      </c>
      <c r="D108" s="10"/>
      <c r="E108" s="7" t="s">
        <v>458</v>
      </c>
      <c r="F108" s="7" t="s">
        <v>124</v>
      </c>
      <c r="G108" s="7" t="s">
        <v>14</v>
      </c>
      <c r="H108" s="10" t="s">
        <v>531</v>
      </c>
      <c r="I108" s="46" t="s">
        <v>680</v>
      </c>
      <c r="J108" s="46" t="s">
        <v>532</v>
      </c>
      <c r="K108" s="7" t="s">
        <v>679</v>
      </c>
      <c r="L108" s="7" t="s">
        <v>533</v>
      </c>
      <c r="M108" s="7"/>
      <c r="N108" s="7">
        <v>21</v>
      </c>
      <c r="O108" s="7">
        <v>2</v>
      </c>
      <c r="P108" s="7">
        <v>7</v>
      </c>
      <c r="Q108" s="7">
        <f t="shared" ref="Q108:Q115" si="60">(N108*O108)+P108</f>
        <v>49</v>
      </c>
      <c r="R108" s="74">
        <f>U4</f>
        <v>689.28571428571422</v>
      </c>
      <c r="S108" s="74">
        <f t="shared" ref="S108:S115" si="61">R108/Q108</f>
        <v>14.067055393586005</v>
      </c>
      <c r="T108" s="7">
        <v>4</v>
      </c>
      <c r="U108" s="75">
        <f t="shared" ref="U108:U115" si="62">T108+S108</f>
        <v>18.067055393586003</v>
      </c>
      <c r="V108" s="7">
        <v>1352</v>
      </c>
      <c r="W108" s="7"/>
      <c r="X108" s="36">
        <f>X3/2.5</f>
        <v>170.90909090909091</v>
      </c>
      <c r="Y108" s="36">
        <f>Y3</f>
        <v>41.857142857142854</v>
      </c>
      <c r="Z108" s="36">
        <f>Z3*1.5</f>
        <v>5.625</v>
      </c>
      <c r="AA108" s="7">
        <f>AA2</f>
        <v>150</v>
      </c>
      <c r="AB108" s="36">
        <f>U108*2.1</f>
        <v>37.940816326530609</v>
      </c>
      <c r="AC108" s="36"/>
      <c r="AD108" s="36"/>
      <c r="AE108" s="36">
        <f>AE3</f>
        <v>40</v>
      </c>
      <c r="AF108" s="7">
        <f>AF3</f>
        <v>32</v>
      </c>
      <c r="AG108" s="36">
        <f>AG3*1.3</f>
        <v>559</v>
      </c>
      <c r="AH108" s="41">
        <f t="shared" ref="AH108:AH115" si="63">V108+X108+Y108+Z108+AA108+AB108+AC108+AD108+AE108+AF108+AG108</f>
        <v>2389.3320500927648</v>
      </c>
      <c r="AI108" s="41">
        <f>AH108/1.05</f>
        <v>2275.5543334216809</v>
      </c>
      <c r="AJ108" s="42">
        <f>AI108-Y3</f>
        <v>2233.6971905645382</v>
      </c>
      <c r="AK108" s="42">
        <f t="shared" ref="AK108:AK115" si="64">AH108*1.05</f>
        <v>2508.7986525974034</v>
      </c>
      <c r="AL108" s="14">
        <f t="shared" ref="AL108:AL115" si="65">AH108*1.1</f>
        <v>2628.2652551020415</v>
      </c>
      <c r="AM108" s="14">
        <f t="shared" ref="AM108:AM115" si="66">AH108*1.15</f>
        <v>2747.7318576066791</v>
      </c>
      <c r="AN108" s="14">
        <f t="shared" ref="AN108:AN115" si="67">AH108*1.25</f>
        <v>2986.6650626159562</v>
      </c>
    </row>
    <row r="109" spans="1:40" x14ac:dyDescent="0.25">
      <c r="B109" s="6" t="s">
        <v>360</v>
      </c>
      <c r="C109" s="8" t="s">
        <v>163</v>
      </c>
      <c r="D109" s="10">
        <v>30</v>
      </c>
      <c r="E109" s="7" t="s">
        <v>164</v>
      </c>
      <c r="F109" s="7" t="s">
        <v>68</v>
      </c>
      <c r="G109" s="7" t="s">
        <v>64</v>
      </c>
      <c r="H109" s="10">
        <v>9068300218</v>
      </c>
      <c r="I109" s="46" t="s">
        <v>683</v>
      </c>
      <c r="J109" s="46" t="s">
        <v>682</v>
      </c>
      <c r="K109" s="7" t="s">
        <v>684</v>
      </c>
      <c r="L109" s="7" t="s">
        <v>165</v>
      </c>
      <c r="M109" s="7"/>
      <c r="N109" s="7">
        <v>18</v>
      </c>
      <c r="O109" s="7">
        <v>2</v>
      </c>
      <c r="P109" s="7">
        <v>7</v>
      </c>
      <c r="Q109" s="7">
        <f t="shared" si="60"/>
        <v>43</v>
      </c>
      <c r="R109" s="74">
        <f>U4</f>
        <v>689.28571428571422</v>
      </c>
      <c r="S109" s="74">
        <f t="shared" si="61"/>
        <v>16.02990033222591</v>
      </c>
      <c r="T109" s="7">
        <v>4</v>
      </c>
      <c r="U109" s="75">
        <f t="shared" si="62"/>
        <v>20.02990033222591</v>
      </c>
      <c r="V109" s="7">
        <v>1653</v>
      </c>
      <c r="W109" s="7"/>
      <c r="X109" s="36">
        <f>X3/2.5</f>
        <v>170.90909090909091</v>
      </c>
      <c r="Y109" s="36">
        <f>Y3</f>
        <v>41.857142857142854</v>
      </c>
      <c r="Z109" s="36">
        <f>Z3*1.5</f>
        <v>5.625</v>
      </c>
      <c r="AA109" s="7">
        <f>AA2*2.5</f>
        <v>375</v>
      </c>
      <c r="AB109" s="36">
        <f>U109*2.1</f>
        <v>42.062790697674416</v>
      </c>
      <c r="AC109" s="36"/>
      <c r="AD109" s="36"/>
      <c r="AE109" s="36">
        <f>AE3</f>
        <v>40</v>
      </c>
      <c r="AF109" s="7">
        <f>AF3</f>
        <v>32</v>
      </c>
      <c r="AG109" s="36">
        <f>AG3*1.25</f>
        <v>537.5</v>
      </c>
      <c r="AH109" s="41">
        <f t="shared" si="63"/>
        <v>2897.9540244639084</v>
      </c>
      <c r="AI109" s="41">
        <f>AH109/1.05</f>
        <v>2759.9562137751509</v>
      </c>
      <c r="AJ109" s="42">
        <f>AI109-Y3</f>
        <v>2718.0990709180082</v>
      </c>
      <c r="AK109" s="42">
        <f t="shared" si="64"/>
        <v>3042.8517256871037</v>
      </c>
      <c r="AL109" s="14">
        <f t="shared" si="65"/>
        <v>3187.7494269102995</v>
      </c>
      <c r="AM109" s="14">
        <f t="shared" si="66"/>
        <v>3332.6471281334943</v>
      </c>
      <c r="AN109" s="14">
        <f t="shared" si="67"/>
        <v>3622.4425305798854</v>
      </c>
    </row>
    <row r="110" spans="1:40" x14ac:dyDescent="0.25">
      <c r="B110" s="6" t="s">
        <v>454</v>
      </c>
      <c r="C110" s="8" t="s">
        <v>251</v>
      </c>
      <c r="D110" s="10">
        <v>34</v>
      </c>
      <c r="E110" s="7" t="s">
        <v>249</v>
      </c>
      <c r="F110" s="7" t="s">
        <v>248</v>
      </c>
      <c r="G110" s="7" t="s">
        <v>226</v>
      </c>
      <c r="H110" s="10" t="s">
        <v>250</v>
      </c>
      <c r="I110" s="46" t="s">
        <v>688</v>
      </c>
      <c r="J110" s="46" t="s">
        <v>685</v>
      </c>
      <c r="K110" s="7" t="s">
        <v>686</v>
      </c>
      <c r="L110" s="7" t="s">
        <v>687</v>
      </c>
      <c r="M110" s="7"/>
      <c r="N110" s="7">
        <v>18</v>
      </c>
      <c r="O110" s="7">
        <v>3</v>
      </c>
      <c r="P110" s="7">
        <v>0</v>
      </c>
      <c r="Q110" s="7">
        <f t="shared" si="60"/>
        <v>54</v>
      </c>
      <c r="R110" s="74">
        <f>U4</f>
        <v>689.28571428571422</v>
      </c>
      <c r="S110" s="74">
        <f t="shared" si="61"/>
        <v>12.764550264550264</v>
      </c>
      <c r="T110" s="7">
        <v>4</v>
      </c>
      <c r="U110" s="75">
        <f t="shared" si="62"/>
        <v>16.764550264550266</v>
      </c>
      <c r="V110" s="7">
        <v>1597</v>
      </c>
      <c r="W110" s="7"/>
      <c r="X110" s="36">
        <f>X3/2</f>
        <v>213.63636363636363</v>
      </c>
      <c r="Y110" s="36">
        <f>Y3</f>
        <v>41.857142857142854</v>
      </c>
      <c r="Z110" s="36">
        <f>Z3*1.5</f>
        <v>5.625</v>
      </c>
      <c r="AA110" s="7">
        <f>AA2*2</f>
        <v>300</v>
      </c>
      <c r="AB110" s="36">
        <f>(U110+U111)*2.1</f>
        <v>63.709722222222226</v>
      </c>
      <c r="AC110" s="36"/>
      <c r="AD110" s="36"/>
      <c r="AE110" s="36">
        <f>AE3</f>
        <v>40</v>
      </c>
      <c r="AF110" s="7">
        <f>AF3</f>
        <v>32</v>
      </c>
      <c r="AG110" s="36">
        <f>AG3*1.67</f>
        <v>718.1</v>
      </c>
      <c r="AH110" s="41">
        <f t="shared" si="63"/>
        <v>3011.9282287157284</v>
      </c>
      <c r="AI110" s="41">
        <f>AH110/1.05</f>
        <v>2868.5030749673601</v>
      </c>
      <c r="AJ110" s="42">
        <f>AI110-Y3</f>
        <v>2826.6459321102175</v>
      </c>
      <c r="AK110" s="42">
        <f t="shared" si="64"/>
        <v>3162.5246401515151</v>
      </c>
      <c r="AL110" s="14">
        <f t="shared" si="65"/>
        <v>3313.1210515873017</v>
      </c>
      <c r="AM110" s="14">
        <f t="shared" si="66"/>
        <v>3463.7174630230875</v>
      </c>
      <c r="AN110" s="14">
        <f t="shared" si="67"/>
        <v>3764.9102858946608</v>
      </c>
    </row>
    <row r="111" spans="1:40" x14ac:dyDescent="0.25">
      <c r="B111" s="6"/>
      <c r="C111" s="8"/>
      <c r="D111" s="10"/>
      <c r="E111" s="7"/>
      <c r="F111" s="7"/>
      <c r="G111" s="7"/>
      <c r="H111" s="10"/>
      <c r="I111" s="46"/>
      <c r="J111" s="46"/>
      <c r="K111" s="7"/>
      <c r="L111" s="7"/>
      <c r="M111" s="7"/>
      <c r="N111" s="7">
        <v>18</v>
      </c>
      <c r="O111" s="7">
        <v>4</v>
      </c>
      <c r="P111" s="7">
        <v>0</v>
      </c>
      <c r="Q111" s="7">
        <f t="shared" si="60"/>
        <v>72</v>
      </c>
      <c r="R111" s="74">
        <f>U4</f>
        <v>689.28571428571422</v>
      </c>
      <c r="S111" s="74">
        <f t="shared" si="61"/>
        <v>9.5734126984126977</v>
      </c>
      <c r="T111" s="7">
        <v>4</v>
      </c>
      <c r="U111" s="75">
        <f t="shared" si="62"/>
        <v>13.573412698412698</v>
      </c>
      <c r="V111" s="7"/>
      <c r="W111" s="7"/>
      <c r="X111" s="36"/>
      <c r="Y111" s="36"/>
      <c r="Z111" s="36"/>
      <c r="AA111" s="7"/>
      <c r="AB111" s="36"/>
      <c r="AC111" s="36"/>
      <c r="AD111" s="36"/>
      <c r="AE111" s="36"/>
      <c r="AF111" s="7"/>
      <c r="AG111" s="36"/>
      <c r="AH111" s="41"/>
      <c r="AI111" s="41"/>
      <c r="AJ111" s="42"/>
      <c r="AK111" s="42" t="s">
        <v>177</v>
      </c>
      <c r="AL111" s="14"/>
      <c r="AM111" s="14" t="s">
        <v>177</v>
      </c>
      <c r="AN111" s="14"/>
    </row>
    <row r="112" spans="1:40" x14ac:dyDescent="0.25">
      <c r="B112" s="6" t="s">
        <v>455</v>
      </c>
      <c r="C112" s="8" t="s">
        <v>244</v>
      </c>
      <c r="D112" s="10">
        <v>40</v>
      </c>
      <c r="E112" s="7" t="s">
        <v>245</v>
      </c>
      <c r="F112" s="7" t="s">
        <v>246</v>
      </c>
      <c r="G112" s="7" t="s">
        <v>46</v>
      </c>
      <c r="H112" s="44" t="s">
        <v>243</v>
      </c>
      <c r="I112" s="53" t="s">
        <v>689</v>
      </c>
      <c r="J112" s="53" t="s">
        <v>523</v>
      </c>
      <c r="K112" s="7" t="s">
        <v>688</v>
      </c>
      <c r="L112" s="7" t="s">
        <v>688</v>
      </c>
      <c r="M112" s="7"/>
      <c r="N112" s="7">
        <v>50</v>
      </c>
      <c r="O112" s="7">
        <v>1</v>
      </c>
      <c r="P112" s="7">
        <v>0</v>
      </c>
      <c r="Q112" s="7">
        <f t="shared" si="60"/>
        <v>50</v>
      </c>
      <c r="R112" s="74">
        <f>U4</f>
        <v>689.28571428571422</v>
      </c>
      <c r="S112" s="74">
        <f t="shared" si="61"/>
        <v>13.785714285714285</v>
      </c>
      <c r="T112" s="7">
        <v>4</v>
      </c>
      <c r="U112" s="75">
        <f t="shared" si="62"/>
        <v>17.785714285714285</v>
      </c>
      <c r="V112" s="7">
        <v>2654</v>
      </c>
      <c r="W112" s="7"/>
      <c r="X112" s="36">
        <f>X3/1</f>
        <v>427.27272727272725</v>
      </c>
      <c r="Y112" s="36">
        <f>Y3</f>
        <v>41.857142857142854</v>
      </c>
      <c r="Z112" s="36">
        <f>Z3*1.5</f>
        <v>5.625</v>
      </c>
      <c r="AA112" s="7">
        <f>AA2*2</f>
        <v>300</v>
      </c>
      <c r="AB112" s="36">
        <f>U112*4.1</f>
        <v>72.921428571428564</v>
      </c>
      <c r="AC112" s="36"/>
      <c r="AD112" s="36"/>
      <c r="AE112" s="36">
        <f>AE3</f>
        <v>40</v>
      </c>
      <c r="AF112" s="7">
        <f>AF3</f>
        <v>32</v>
      </c>
      <c r="AG112" s="36">
        <f>AG3*1.4</f>
        <v>602</v>
      </c>
      <c r="AH112" s="41">
        <f t="shared" si="63"/>
        <v>4175.676298701298</v>
      </c>
      <c r="AI112" s="41">
        <f>AH112/1.05</f>
        <v>3976.8345701917124</v>
      </c>
      <c r="AJ112" s="42">
        <f>AI112-Y3</f>
        <v>3934.9774273345697</v>
      </c>
      <c r="AK112" s="42">
        <f>AH112*1.05</f>
        <v>4384.4601136363635</v>
      </c>
      <c r="AL112" s="14">
        <f t="shared" si="65"/>
        <v>4593.2439285714281</v>
      </c>
      <c r="AM112" s="14">
        <f t="shared" si="66"/>
        <v>4802.0277435064927</v>
      </c>
      <c r="AN112" s="14">
        <f t="shared" si="67"/>
        <v>5219.5953733766228</v>
      </c>
    </row>
    <row r="113" spans="1:41" x14ac:dyDescent="0.25">
      <c r="B113" s="6" t="s">
        <v>361</v>
      </c>
      <c r="C113" s="8" t="s">
        <v>262</v>
      </c>
      <c r="D113" s="10">
        <v>34</v>
      </c>
      <c r="E113" s="7" t="s">
        <v>457</v>
      </c>
      <c r="F113" s="7" t="s">
        <v>459</v>
      </c>
      <c r="G113" s="7" t="s">
        <v>14</v>
      </c>
      <c r="H113" s="10"/>
      <c r="I113" s="46" t="s">
        <v>681</v>
      </c>
      <c r="J113" s="46" t="s">
        <v>690</v>
      </c>
      <c r="K113" s="7" t="s">
        <v>692</v>
      </c>
      <c r="L113" s="7" t="s">
        <v>691</v>
      </c>
      <c r="M113" s="7"/>
      <c r="N113" s="7">
        <v>50</v>
      </c>
      <c r="O113" s="7">
        <v>1</v>
      </c>
      <c r="P113" s="7">
        <v>0</v>
      </c>
      <c r="Q113" s="7">
        <f t="shared" si="60"/>
        <v>50</v>
      </c>
      <c r="R113" s="74">
        <f>U4</f>
        <v>689.28571428571422</v>
      </c>
      <c r="S113" s="74">
        <f t="shared" si="61"/>
        <v>13.785714285714285</v>
      </c>
      <c r="T113" s="7">
        <v>4</v>
      </c>
      <c r="U113" s="75">
        <f t="shared" si="62"/>
        <v>17.785714285714285</v>
      </c>
      <c r="V113" s="7">
        <v>2023</v>
      </c>
      <c r="W113" s="7"/>
      <c r="X113" s="36">
        <f>X3/1</f>
        <v>427.27272727272725</v>
      </c>
      <c r="Y113" s="36">
        <f>Y3</f>
        <v>41.857142857142854</v>
      </c>
      <c r="Z113" s="36">
        <f>Z3*1.5</f>
        <v>5.625</v>
      </c>
      <c r="AA113" s="7">
        <f>AA2*2</f>
        <v>300</v>
      </c>
      <c r="AB113" s="36">
        <f>(U113+U114)*2.1</f>
        <v>59.535714285714285</v>
      </c>
      <c r="AC113" s="36"/>
      <c r="AD113" s="36">
        <f>AD2/3.3</f>
        <v>303.03030303030306</v>
      </c>
      <c r="AE113" s="36">
        <f>AE3</f>
        <v>40</v>
      </c>
      <c r="AF113" s="7">
        <f>AF3</f>
        <v>32</v>
      </c>
      <c r="AG113" s="36">
        <f>AG3*1.25</f>
        <v>537.5</v>
      </c>
      <c r="AH113" s="41">
        <f>V113+X113+Y113+Z113+AA113+AB113+AC113+AD113+AE113+AF113+AG113</f>
        <v>3769.8208874458869</v>
      </c>
      <c r="AI113" s="41">
        <f>AH113/1.05</f>
        <v>3590.3056070913208</v>
      </c>
      <c r="AJ113" s="42">
        <f>AI113-Y3</f>
        <v>3548.4484642341781</v>
      </c>
      <c r="AK113" s="42">
        <f t="shared" si="64"/>
        <v>3958.3119318181816</v>
      </c>
      <c r="AL113" s="14">
        <f t="shared" si="65"/>
        <v>4146.8029761904763</v>
      </c>
      <c r="AM113" s="14">
        <f t="shared" si="66"/>
        <v>4335.2940205627692</v>
      </c>
      <c r="AN113" s="14">
        <f t="shared" si="67"/>
        <v>4712.2761093073586</v>
      </c>
    </row>
    <row r="114" spans="1:41" x14ac:dyDescent="0.25">
      <c r="B114" s="6"/>
      <c r="C114" s="8"/>
      <c r="D114" s="10"/>
      <c r="E114" s="7"/>
      <c r="F114" s="7"/>
      <c r="G114" s="7"/>
      <c r="H114" s="10"/>
      <c r="I114" s="46"/>
      <c r="J114" s="46"/>
      <c r="K114" s="7"/>
      <c r="L114" s="7"/>
      <c r="M114" s="7"/>
      <c r="N114" s="7">
        <v>21</v>
      </c>
      <c r="O114" s="7">
        <v>5</v>
      </c>
      <c r="P114" s="7">
        <v>0</v>
      </c>
      <c r="Q114" s="7">
        <f t="shared" si="60"/>
        <v>105</v>
      </c>
      <c r="R114" s="74">
        <f>U4</f>
        <v>689.28571428571422</v>
      </c>
      <c r="S114" s="74">
        <f t="shared" si="61"/>
        <v>6.5646258503401356</v>
      </c>
      <c r="T114" s="7">
        <v>4</v>
      </c>
      <c r="U114" s="75">
        <f t="shared" si="62"/>
        <v>10.564625850340136</v>
      </c>
      <c r="V114" s="7"/>
      <c r="W114" s="7"/>
      <c r="X114" s="36"/>
      <c r="Y114" s="36"/>
      <c r="Z114" s="36"/>
      <c r="AA114" s="7"/>
      <c r="AB114" s="36"/>
      <c r="AC114" s="36"/>
      <c r="AD114" s="36"/>
      <c r="AE114" s="36"/>
      <c r="AF114" s="7"/>
      <c r="AG114" s="36"/>
      <c r="AH114" s="41"/>
      <c r="AI114" s="41"/>
      <c r="AJ114" s="42"/>
      <c r="AK114" s="42" t="s">
        <v>177</v>
      </c>
      <c r="AL114" s="14"/>
      <c r="AM114" s="14" t="s">
        <v>177</v>
      </c>
      <c r="AN114" s="14"/>
    </row>
    <row r="115" spans="1:41" x14ac:dyDescent="0.25">
      <c r="B115" s="6" t="s">
        <v>461</v>
      </c>
      <c r="C115" s="8" t="s">
        <v>460</v>
      </c>
      <c r="D115" s="10">
        <v>52</v>
      </c>
      <c r="E115" s="7" t="s">
        <v>456</v>
      </c>
      <c r="F115" s="7" t="s">
        <v>124</v>
      </c>
      <c r="G115" s="7" t="s">
        <v>14</v>
      </c>
      <c r="H115" s="10"/>
      <c r="I115" s="46" t="s">
        <v>688</v>
      </c>
      <c r="J115" s="46" t="s">
        <v>693</v>
      </c>
      <c r="K115" s="7" t="s">
        <v>688</v>
      </c>
      <c r="L115" s="7" t="s">
        <v>694</v>
      </c>
      <c r="M115" s="7"/>
      <c r="N115" s="7">
        <v>21</v>
      </c>
      <c r="O115" s="7">
        <v>2</v>
      </c>
      <c r="P115" s="7">
        <v>7</v>
      </c>
      <c r="Q115" s="7">
        <f t="shared" si="60"/>
        <v>49</v>
      </c>
      <c r="R115" s="74">
        <f>U4</f>
        <v>689.28571428571422</v>
      </c>
      <c r="S115" s="74">
        <f t="shared" si="61"/>
        <v>14.067055393586005</v>
      </c>
      <c r="T115" s="7">
        <v>4</v>
      </c>
      <c r="U115" s="75">
        <f t="shared" si="62"/>
        <v>18.067055393586003</v>
      </c>
      <c r="V115" s="7">
        <v>1251</v>
      </c>
      <c r="W115" s="7"/>
      <c r="X115" s="36">
        <f>X3/2.5</f>
        <v>170.90909090909091</v>
      </c>
      <c r="Y115" s="36">
        <f>Y3</f>
        <v>41.857142857142854</v>
      </c>
      <c r="Z115" s="36">
        <f>Z3*1.5</f>
        <v>5.625</v>
      </c>
      <c r="AA115" s="7">
        <f>AA2</f>
        <v>150</v>
      </c>
      <c r="AB115" s="36">
        <f>U115*2.1</f>
        <v>37.940816326530609</v>
      </c>
      <c r="AC115" s="36"/>
      <c r="AD115" s="36"/>
      <c r="AE115" s="36">
        <f>AE3</f>
        <v>40</v>
      </c>
      <c r="AF115" s="7">
        <f>AF3</f>
        <v>32</v>
      </c>
      <c r="AG115" s="36">
        <f>AG3*1.4</f>
        <v>602</v>
      </c>
      <c r="AH115" s="41">
        <f t="shared" si="63"/>
        <v>2331.3320500927648</v>
      </c>
      <c r="AI115" s="41">
        <f>AH115/1.05</f>
        <v>2220.3162381835855</v>
      </c>
      <c r="AJ115" s="42">
        <f>AI115-Y3</f>
        <v>2178.4590953264428</v>
      </c>
      <c r="AK115" s="42">
        <f t="shared" si="64"/>
        <v>2447.8986525974033</v>
      </c>
      <c r="AL115" s="14">
        <f t="shared" si="65"/>
        <v>2564.4652551020413</v>
      </c>
      <c r="AM115" s="14">
        <f t="shared" si="66"/>
        <v>2681.0318576066793</v>
      </c>
      <c r="AN115" s="14">
        <f t="shared" si="67"/>
        <v>2914.1650626159562</v>
      </c>
    </row>
    <row r="116" spans="1:41" s="31" customFormat="1" x14ac:dyDescent="0.25">
      <c r="B116" s="26"/>
      <c r="C116" s="27"/>
      <c r="D116" s="29"/>
      <c r="E116" s="28"/>
      <c r="F116" s="28"/>
      <c r="G116" s="28"/>
      <c r="H116" s="29"/>
      <c r="I116" s="29"/>
      <c r="J116" s="47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37"/>
      <c r="Y116" s="37"/>
      <c r="Z116" s="37"/>
      <c r="AA116" s="28"/>
      <c r="AB116" s="37"/>
      <c r="AC116" s="37"/>
      <c r="AD116" s="37"/>
      <c r="AE116" s="37"/>
      <c r="AF116" s="28"/>
      <c r="AG116" s="37"/>
      <c r="AH116" s="43"/>
      <c r="AI116" s="43"/>
      <c r="AJ116" s="42"/>
      <c r="AK116" s="42"/>
      <c r="AL116" s="30"/>
      <c r="AM116" s="30"/>
      <c r="AN116" s="30"/>
      <c r="AO116" s="80"/>
    </row>
    <row r="117" spans="1:41" x14ac:dyDescent="0.25">
      <c r="B117" s="24" t="s">
        <v>205</v>
      </c>
      <c r="C117" s="18"/>
      <c r="D117" s="20"/>
      <c r="E117" s="19"/>
      <c r="F117" s="19"/>
      <c r="G117" s="19"/>
      <c r="H117" s="20"/>
      <c r="I117" s="20"/>
      <c r="J117" s="2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34"/>
      <c r="Y117" s="34"/>
      <c r="Z117" s="34"/>
      <c r="AA117" s="19"/>
      <c r="AB117" s="34"/>
      <c r="AC117" s="34"/>
      <c r="AD117" s="34"/>
      <c r="AE117" s="34"/>
      <c r="AF117" s="19"/>
      <c r="AG117" s="34"/>
      <c r="AH117" s="40"/>
      <c r="AI117" s="40"/>
      <c r="AJ117" s="40"/>
      <c r="AK117" s="40"/>
      <c r="AL117" s="19"/>
      <c r="AM117" s="19"/>
      <c r="AN117" s="19"/>
    </row>
    <row r="118" spans="1:41" x14ac:dyDescent="0.25">
      <c r="B118" s="6" t="s">
        <v>362</v>
      </c>
      <c r="C118" s="8" t="s">
        <v>219</v>
      </c>
      <c r="D118" s="10"/>
      <c r="E118" s="7" t="s">
        <v>18</v>
      </c>
      <c r="F118" s="7" t="s">
        <v>220</v>
      </c>
      <c r="G118" s="7" t="s">
        <v>14</v>
      </c>
      <c r="H118" s="10" t="s">
        <v>221</v>
      </c>
      <c r="I118" s="10"/>
      <c r="J118" s="46"/>
      <c r="K118" s="7" t="s">
        <v>222</v>
      </c>
      <c r="L118" s="7" t="s">
        <v>223</v>
      </c>
      <c r="M118" s="7"/>
      <c r="N118" s="7">
        <v>21</v>
      </c>
      <c r="O118" s="7">
        <v>4</v>
      </c>
      <c r="P118" s="7">
        <v>6</v>
      </c>
      <c r="Q118" s="7">
        <f>(N118*O118)+P118</f>
        <v>90</v>
      </c>
      <c r="R118" s="74">
        <f>U4</f>
        <v>689.28571428571422</v>
      </c>
      <c r="S118" s="74">
        <f>R118/Q118</f>
        <v>7.6587301587301582</v>
      </c>
      <c r="T118" s="7">
        <v>4</v>
      </c>
      <c r="U118" s="75">
        <f>T118+S118</f>
        <v>11.658730158730158</v>
      </c>
      <c r="V118" s="7">
        <v>1008</v>
      </c>
      <c r="W118" s="7"/>
      <c r="X118" s="36">
        <f>X3/6</f>
        <v>71.212121212121204</v>
      </c>
      <c r="Y118" s="36">
        <f>Y3</f>
        <v>41.857142857142854</v>
      </c>
      <c r="Z118" s="36">
        <f>Z3*1.5</f>
        <v>5.625</v>
      </c>
      <c r="AA118" s="7">
        <f>AA2</f>
        <v>150</v>
      </c>
      <c r="AB118" s="36">
        <f>U118*2.1</f>
        <v>24.483333333333334</v>
      </c>
      <c r="AC118" s="36"/>
      <c r="AD118" s="36"/>
      <c r="AE118" s="36">
        <f>AE3</f>
        <v>40</v>
      </c>
      <c r="AF118" s="7">
        <f>AF3</f>
        <v>32</v>
      </c>
      <c r="AG118" s="36">
        <f>AG3*1.05</f>
        <v>451.5</v>
      </c>
      <c r="AH118" s="41">
        <f>V118+X118+Y118+Z118+AA118+AB118+AC118+AD118+AE118+AF118+AG118</f>
        <v>1824.6775974025975</v>
      </c>
      <c r="AI118" s="41">
        <f>AH118/1.05</f>
        <v>1737.7881880024738</v>
      </c>
      <c r="AJ118" s="42">
        <f>AI118-Y3</f>
        <v>1695.9310451453309</v>
      </c>
      <c r="AK118" s="42">
        <f>AH118*1.05</f>
        <v>1915.9114772727276</v>
      </c>
      <c r="AL118" s="14">
        <f>AH118*1.1</f>
        <v>2007.1453571428574</v>
      </c>
      <c r="AM118" s="14">
        <f>AH118*1.15</f>
        <v>2098.3792370129868</v>
      </c>
      <c r="AN118" s="14">
        <f>AH118*1.25</f>
        <v>2280.8469967532469</v>
      </c>
    </row>
    <row r="119" spans="1:41" x14ac:dyDescent="0.25">
      <c r="B119" s="6" t="s">
        <v>739</v>
      </c>
      <c r="C119" s="8" t="s">
        <v>747</v>
      </c>
      <c r="D119" s="10"/>
      <c r="E119" s="7" t="s">
        <v>754</v>
      </c>
      <c r="F119" s="7" t="s">
        <v>236</v>
      </c>
      <c r="G119" s="7" t="s">
        <v>14</v>
      </c>
      <c r="H119" s="10" t="s">
        <v>816</v>
      </c>
      <c r="I119" s="10" t="s">
        <v>815</v>
      </c>
      <c r="J119" s="46" t="s">
        <v>818</v>
      </c>
      <c r="K119" s="7" t="s">
        <v>817</v>
      </c>
      <c r="L119" s="7" t="s">
        <v>819</v>
      </c>
      <c r="M119" s="7"/>
      <c r="N119" s="7">
        <v>21</v>
      </c>
      <c r="O119" s="7">
        <v>5</v>
      </c>
      <c r="P119" s="7">
        <v>0</v>
      </c>
      <c r="Q119" s="7">
        <f>(N119*O119)+P119</f>
        <v>105</v>
      </c>
      <c r="R119" s="74">
        <f>U4</f>
        <v>689.28571428571422</v>
      </c>
      <c r="S119" s="74">
        <f>R119/Q119</f>
        <v>6.5646258503401356</v>
      </c>
      <c r="T119" s="7">
        <v>4</v>
      </c>
      <c r="U119" s="75">
        <f>T119+S119</f>
        <v>10.564625850340136</v>
      </c>
      <c r="V119" s="7">
        <v>900</v>
      </c>
      <c r="W119" s="7"/>
      <c r="X119" s="36">
        <f>X3/6</f>
        <v>71.212121212121204</v>
      </c>
      <c r="Y119" s="36">
        <f>Y3</f>
        <v>41.857142857142854</v>
      </c>
      <c r="Z119" s="36">
        <f>Z3*1.5</f>
        <v>5.625</v>
      </c>
      <c r="AA119" s="7">
        <f>AA2</f>
        <v>150</v>
      </c>
      <c r="AB119" s="36">
        <f>U119*2.1</f>
        <v>22.185714285714287</v>
      </c>
      <c r="AC119" s="36"/>
      <c r="AD119" s="36"/>
      <c r="AE119" s="36">
        <f>AE3</f>
        <v>40</v>
      </c>
      <c r="AF119" s="7">
        <f>AF3</f>
        <v>32</v>
      </c>
      <c r="AG119" s="36">
        <f>AG3*1.05</f>
        <v>451.5</v>
      </c>
      <c r="AH119" s="41">
        <f>V119+X119+Y119+Z119+AA119+AB119+AC119+AD119+AE119+AF119+AG119</f>
        <v>1714.3799783549784</v>
      </c>
      <c r="AI119" s="41">
        <f>AH119/1.05</f>
        <v>1632.7428365285509</v>
      </c>
      <c r="AJ119" s="42">
        <f>AI119-Y3</f>
        <v>1590.885693671408</v>
      </c>
      <c r="AK119" s="42">
        <f>AH119*1.05</f>
        <v>1800.0989772727276</v>
      </c>
      <c r="AL119" s="14">
        <f>AH119*1.1</f>
        <v>1885.8179761904764</v>
      </c>
      <c r="AM119" s="14">
        <f>AH119*1.15</f>
        <v>1971.5369751082251</v>
      </c>
      <c r="AN119" s="14">
        <f>AH119*1.25</f>
        <v>2142.9749729437231</v>
      </c>
    </row>
    <row r="120" spans="1:41" x14ac:dyDescent="0.25">
      <c r="B120" s="6" t="s">
        <v>363</v>
      </c>
      <c r="C120" s="8" t="s">
        <v>274</v>
      </c>
      <c r="D120" s="10"/>
      <c r="E120" s="7" t="s">
        <v>264</v>
      </c>
      <c r="F120" s="7" t="s">
        <v>22</v>
      </c>
      <c r="G120" s="7" t="s">
        <v>14</v>
      </c>
      <c r="H120" s="10"/>
      <c r="I120" s="10" t="s">
        <v>695</v>
      </c>
      <c r="J120" s="46" t="s">
        <v>387</v>
      </c>
      <c r="K120" s="7" t="s">
        <v>697</v>
      </c>
      <c r="L120" s="7" t="s">
        <v>696</v>
      </c>
      <c r="M120" s="7"/>
      <c r="N120" s="7">
        <v>21</v>
      </c>
      <c r="O120" s="7">
        <v>4</v>
      </c>
      <c r="P120" s="7">
        <v>4</v>
      </c>
      <c r="Q120" s="7">
        <f>(N120*O120)+P120</f>
        <v>88</v>
      </c>
      <c r="R120" s="74">
        <f>U4</f>
        <v>689.28571428571422</v>
      </c>
      <c r="S120" s="74">
        <f>R120/Q120</f>
        <v>7.832792207792207</v>
      </c>
      <c r="T120" s="7">
        <v>4</v>
      </c>
      <c r="U120" s="75">
        <f>T120+S120</f>
        <v>11.832792207792206</v>
      </c>
      <c r="V120" s="7">
        <v>1043</v>
      </c>
      <c r="W120" s="7"/>
      <c r="X120" s="36">
        <f>X3/6</f>
        <v>71.212121212121204</v>
      </c>
      <c r="Y120" s="36">
        <f>Y3</f>
        <v>41.857142857142854</v>
      </c>
      <c r="Z120" s="36">
        <f>Z3*1.5</f>
        <v>5.625</v>
      </c>
      <c r="AA120" s="7">
        <f>AA2</f>
        <v>150</v>
      </c>
      <c r="AB120" s="36">
        <f>U120*2.1</f>
        <v>24.848863636363635</v>
      </c>
      <c r="AC120" s="36"/>
      <c r="AD120" s="36"/>
      <c r="AE120" s="36">
        <f>AE3</f>
        <v>40</v>
      </c>
      <c r="AF120" s="7">
        <f>AF3</f>
        <v>32</v>
      </c>
      <c r="AG120" s="36">
        <f>AG3*1.075</f>
        <v>462.25</v>
      </c>
      <c r="AH120" s="41">
        <f>V120+X120+Y120+Z120+AA120+AB120+AC120+AD120+AE120+AF120+AG120</f>
        <v>1870.7931277056277</v>
      </c>
      <c r="AI120" s="41">
        <f>AH120/1.05</f>
        <v>1781.7077406720264</v>
      </c>
      <c r="AJ120" s="42">
        <f>AI120-Y3</f>
        <v>1739.8505978148835</v>
      </c>
      <c r="AK120" s="42">
        <f>AH120*1.05</f>
        <v>1964.3327840909092</v>
      </c>
      <c r="AL120" s="14">
        <f>AH120*1.1</f>
        <v>2057.8724404761906</v>
      </c>
      <c r="AM120" s="14">
        <f>AH120*1.15</f>
        <v>2151.4120968614716</v>
      </c>
      <c r="AN120" s="14">
        <f>AH120*1.25</f>
        <v>2338.4914096320344</v>
      </c>
    </row>
    <row r="121" spans="1:41" x14ac:dyDescent="0.25">
      <c r="B121" s="6" t="s">
        <v>364</v>
      </c>
      <c r="C121" s="8" t="s">
        <v>275</v>
      </c>
      <c r="D121" s="10"/>
      <c r="E121" s="7" t="s">
        <v>69</v>
      </c>
      <c r="F121" s="7" t="s">
        <v>96</v>
      </c>
      <c r="G121" s="7" t="s">
        <v>14</v>
      </c>
      <c r="H121" s="10"/>
      <c r="I121" s="10" t="s">
        <v>700</v>
      </c>
      <c r="J121" s="46" t="s">
        <v>388</v>
      </c>
      <c r="K121" s="7" t="s">
        <v>699</v>
      </c>
      <c r="L121" s="7" t="s">
        <v>698</v>
      </c>
      <c r="M121" s="7"/>
      <c r="N121" s="7">
        <v>21</v>
      </c>
      <c r="O121" s="7">
        <v>4</v>
      </c>
      <c r="P121" s="7">
        <v>6</v>
      </c>
      <c r="Q121" s="7">
        <f>(N121*O121)+P121</f>
        <v>90</v>
      </c>
      <c r="R121" s="74">
        <f>U4</f>
        <v>689.28571428571422</v>
      </c>
      <c r="S121" s="74">
        <f>R121/Q121</f>
        <v>7.6587301587301582</v>
      </c>
      <c r="T121" s="7">
        <v>4</v>
      </c>
      <c r="U121" s="75">
        <f>T121+S121</f>
        <v>11.658730158730158</v>
      </c>
      <c r="V121" s="7">
        <v>980</v>
      </c>
      <c r="W121" s="7"/>
      <c r="X121" s="36">
        <f>X3/6</f>
        <v>71.212121212121204</v>
      </c>
      <c r="Y121" s="36">
        <f>Y3</f>
        <v>41.857142857142854</v>
      </c>
      <c r="Z121" s="36">
        <f>Z3*1.5</f>
        <v>5.625</v>
      </c>
      <c r="AA121" s="7">
        <f>AA2</f>
        <v>150</v>
      </c>
      <c r="AB121" s="36">
        <f>U121*2.1</f>
        <v>24.483333333333334</v>
      </c>
      <c r="AC121" s="36"/>
      <c r="AD121" s="36"/>
      <c r="AE121" s="36">
        <f>AE3</f>
        <v>40</v>
      </c>
      <c r="AF121" s="7">
        <f>AF3</f>
        <v>32</v>
      </c>
      <c r="AG121" s="36">
        <f>AG3*1.075</f>
        <v>462.25</v>
      </c>
      <c r="AH121" s="41">
        <f>V121+X121+Y121+Z121+AA121+AB121+AC121+AD121+AE121+AF121+AG121</f>
        <v>1807.4275974025975</v>
      </c>
      <c r="AI121" s="41">
        <f>AH121/1.05</f>
        <v>1721.3596165739023</v>
      </c>
      <c r="AJ121" s="42">
        <f>AI121-Y3</f>
        <v>1679.5024737167594</v>
      </c>
      <c r="AK121" s="42">
        <f>AH121*1.05</f>
        <v>1897.7989772727274</v>
      </c>
      <c r="AL121" s="14">
        <f>AH121*1.1</f>
        <v>1988.1703571428575</v>
      </c>
      <c r="AM121" s="14">
        <f>AH121*1.15</f>
        <v>2078.5417370129871</v>
      </c>
      <c r="AN121" s="14">
        <f>AH121*1.25</f>
        <v>2259.2844967532469</v>
      </c>
    </row>
    <row r="122" spans="1:41" x14ac:dyDescent="0.25">
      <c r="A122" t="s">
        <v>177</v>
      </c>
      <c r="B122" s="6" t="s">
        <v>385</v>
      </c>
      <c r="C122" s="8" t="s">
        <v>384</v>
      </c>
      <c r="D122" s="10">
        <v>184</v>
      </c>
      <c r="E122" s="7" t="s">
        <v>462</v>
      </c>
      <c r="F122" s="7" t="s">
        <v>386</v>
      </c>
      <c r="G122" s="7" t="s">
        <v>14</v>
      </c>
      <c r="H122" s="10" t="s">
        <v>391</v>
      </c>
      <c r="I122" s="10" t="s">
        <v>688</v>
      </c>
      <c r="J122" s="46" t="s">
        <v>389</v>
      </c>
      <c r="K122" s="7" t="s">
        <v>701</v>
      </c>
      <c r="L122" s="7" t="s">
        <v>390</v>
      </c>
      <c r="M122" s="7"/>
      <c r="N122" s="7">
        <v>21</v>
      </c>
      <c r="O122" s="7">
        <v>5</v>
      </c>
      <c r="P122" s="7">
        <v>0</v>
      </c>
      <c r="Q122" s="7">
        <f>(N122*O122)+P122</f>
        <v>105</v>
      </c>
      <c r="R122" s="74">
        <f>U4</f>
        <v>689.28571428571422</v>
      </c>
      <c r="S122" s="74">
        <f>R122/Q122</f>
        <v>6.5646258503401356</v>
      </c>
      <c r="T122" s="7">
        <v>4</v>
      </c>
      <c r="U122" s="75">
        <f>T122+S122</f>
        <v>10.564625850340136</v>
      </c>
      <c r="V122" s="7">
        <v>800</v>
      </c>
      <c r="W122" s="7"/>
      <c r="X122" s="36">
        <f>X3/6</f>
        <v>71.212121212121204</v>
      </c>
      <c r="Y122" s="36">
        <f>Y3</f>
        <v>41.857142857142854</v>
      </c>
      <c r="Z122" s="36">
        <f>Z3*1.5</f>
        <v>5.625</v>
      </c>
      <c r="AA122" s="7">
        <f>AA2</f>
        <v>150</v>
      </c>
      <c r="AB122" s="36">
        <f>U122*2.1</f>
        <v>22.185714285714287</v>
      </c>
      <c r="AC122" s="36"/>
      <c r="AD122" s="36"/>
      <c r="AE122" s="36">
        <f>AE3</f>
        <v>40</v>
      </c>
      <c r="AF122" s="7">
        <f>AF3</f>
        <v>32</v>
      </c>
      <c r="AG122" s="36">
        <f>AG3</f>
        <v>430</v>
      </c>
      <c r="AH122" s="41">
        <f>V122+X122+Y122+Z122+AA122+AB122+AC122+AD122+AE122+AF122+AG122</f>
        <v>1592.8799783549784</v>
      </c>
      <c r="AI122" s="41">
        <f>AH122/1.05</f>
        <v>1517.0285508142651</v>
      </c>
      <c r="AJ122" s="42">
        <f>AI122-Y3</f>
        <v>1475.1714079571223</v>
      </c>
      <c r="AK122" s="42">
        <f>AH122*1.05</f>
        <v>1672.5239772727275</v>
      </c>
      <c r="AL122" s="14">
        <f>AH122*1.1</f>
        <v>1752.1679761904763</v>
      </c>
      <c r="AM122" s="14">
        <f>AH122*1.15</f>
        <v>1831.8119751082252</v>
      </c>
      <c r="AN122" s="14">
        <f>AH122*1.25</f>
        <v>1991.0999729437231</v>
      </c>
    </row>
    <row r="123" spans="1:41" x14ac:dyDescent="0.25">
      <c r="B123" s="2"/>
      <c r="C123" s="4"/>
      <c r="D123" s="5"/>
      <c r="E123" s="3"/>
      <c r="F123" s="3"/>
      <c r="G123" s="3"/>
      <c r="H123" s="5"/>
      <c r="I123" s="5"/>
      <c r="J123" s="1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5"/>
      <c r="Y123" s="35"/>
      <c r="Z123" s="35"/>
      <c r="AA123" s="3"/>
      <c r="AB123" s="35"/>
      <c r="AC123" s="35"/>
      <c r="AD123" s="35"/>
      <c r="AE123" s="35"/>
      <c r="AF123" s="3"/>
      <c r="AG123" s="35"/>
      <c r="AH123" s="42"/>
      <c r="AI123" s="42"/>
      <c r="AJ123" s="42"/>
      <c r="AK123" s="42"/>
      <c r="AL123" s="3"/>
      <c r="AM123" s="3"/>
      <c r="AN123" s="23"/>
    </row>
    <row r="124" spans="1:41" x14ac:dyDescent="0.25">
      <c r="B124" s="17" t="s">
        <v>534</v>
      </c>
      <c r="C124" s="18"/>
      <c r="D124" s="20"/>
      <c r="E124" s="19"/>
      <c r="F124" s="19"/>
      <c r="G124" s="19"/>
      <c r="H124" s="20"/>
      <c r="I124" s="20"/>
      <c r="J124" s="2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34"/>
      <c r="Y124" s="34"/>
      <c r="Z124" s="34"/>
      <c r="AA124" s="19"/>
      <c r="AB124" s="34"/>
      <c r="AC124" s="34"/>
      <c r="AD124" s="34"/>
      <c r="AE124" s="34"/>
      <c r="AF124" s="19"/>
      <c r="AG124" s="34"/>
      <c r="AH124" s="40"/>
      <c r="AI124" s="40"/>
      <c r="AJ124" s="40"/>
      <c r="AK124" s="40"/>
      <c r="AL124" s="19"/>
      <c r="AM124" s="19"/>
      <c r="AN124" s="22"/>
    </row>
    <row r="125" spans="1:41" x14ac:dyDescent="0.25">
      <c r="B125" s="6" t="s">
        <v>577</v>
      </c>
      <c r="C125" s="8" t="s">
        <v>535</v>
      </c>
      <c r="D125" s="10"/>
      <c r="E125" s="7" t="s">
        <v>155</v>
      </c>
      <c r="F125" s="7" t="s">
        <v>131</v>
      </c>
      <c r="G125" s="7" t="s">
        <v>10</v>
      </c>
      <c r="H125" s="10" t="s">
        <v>536</v>
      </c>
      <c r="I125" s="10" t="s">
        <v>702</v>
      </c>
      <c r="J125" s="46" t="s">
        <v>538</v>
      </c>
      <c r="K125" s="7" t="s">
        <v>539</v>
      </c>
      <c r="L125" s="7" t="s">
        <v>537</v>
      </c>
      <c r="M125" s="7"/>
      <c r="N125" s="7">
        <v>35</v>
      </c>
      <c r="O125" s="7">
        <v>4</v>
      </c>
      <c r="P125" s="7">
        <v>0</v>
      </c>
      <c r="Q125" s="7">
        <f>(N125*O125)+P125</f>
        <v>140</v>
      </c>
      <c r="R125" s="74">
        <f>U4</f>
        <v>689.28571428571422</v>
      </c>
      <c r="S125" s="74">
        <f>R125/Q125</f>
        <v>4.9234693877551017</v>
      </c>
      <c r="T125" s="7">
        <v>4</v>
      </c>
      <c r="U125" s="75">
        <f>T125+S125</f>
        <v>8.9234693877551017</v>
      </c>
      <c r="V125" s="7">
        <v>1500</v>
      </c>
      <c r="W125" s="7"/>
      <c r="X125" s="36">
        <f>X3/6</f>
        <v>71.212121212121204</v>
      </c>
      <c r="Y125" s="36">
        <f>Y3</f>
        <v>41.857142857142854</v>
      </c>
      <c r="Z125" s="36">
        <f>Z3*1.5</f>
        <v>5.625</v>
      </c>
      <c r="AA125" s="7">
        <f>AA2</f>
        <v>150</v>
      </c>
      <c r="AB125" s="36">
        <f>U125*4.1</f>
        <v>36.586224489795917</v>
      </c>
      <c r="AC125" s="36"/>
      <c r="AD125" s="36">
        <f>AD2/11</f>
        <v>90.909090909090907</v>
      </c>
      <c r="AE125" s="36">
        <f>AE3</f>
        <v>40</v>
      </c>
      <c r="AF125" s="7">
        <f>AF3</f>
        <v>32</v>
      </c>
      <c r="AG125" s="36">
        <f>AG3*1.4</f>
        <v>602</v>
      </c>
      <c r="AH125" s="41">
        <f>V125+X125+Y125+Z125+AA125+AB125+AC125+AD125+AE125+AF125+AG125</f>
        <v>2570.1895794681514</v>
      </c>
      <c r="AI125" s="41">
        <f>AH125/1.05</f>
        <v>2447.7995994934772</v>
      </c>
      <c r="AJ125" s="42">
        <f>AI125-Y6</f>
        <v>2405.9424566363346</v>
      </c>
      <c r="AK125" s="42">
        <f>AH125*1.05</f>
        <v>2698.6990584415589</v>
      </c>
      <c r="AL125" s="14">
        <f>AH125*1.1</f>
        <v>2827.2085374149669</v>
      </c>
      <c r="AM125" s="14">
        <f>AH125*1.15</f>
        <v>2955.7180163883736</v>
      </c>
      <c r="AN125" s="14">
        <f>AH125*1.25</f>
        <v>3212.7369743351892</v>
      </c>
    </row>
    <row r="126" spans="1:41" x14ac:dyDescent="0.25">
      <c r="B126" s="2"/>
      <c r="C126" s="4"/>
      <c r="D126" s="5"/>
      <c r="E126" s="3"/>
      <c r="F126" s="3"/>
      <c r="G126" s="3"/>
      <c r="H126" s="5"/>
      <c r="I126" s="5"/>
      <c r="J126" s="1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5"/>
      <c r="Y126" s="35"/>
      <c r="Z126" s="35"/>
      <c r="AA126" s="3"/>
      <c r="AB126" s="35"/>
      <c r="AC126" s="35"/>
      <c r="AD126" s="35"/>
      <c r="AE126" s="35"/>
      <c r="AF126" s="3"/>
      <c r="AG126" s="35"/>
      <c r="AH126" s="42"/>
      <c r="AI126" s="42"/>
      <c r="AJ126" s="42"/>
      <c r="AK126" s="42"/>
      <c r="AL126" s="3"/>
      <c r="AM126" s="3"/>
      <c r="AN126" s="23"/>
    </row>
    <row r="127" spans="1:41" x14ac:dyDescent="0.25">
      <c r="B127" s="24" t="s">
        <v>167</v>
      </c>
      <c r="C127" s="18"/>
      <c r="D127" s="20"/>
      <c r="E127" s="19"/>
      <c r="F127" s="19"/>
      <c r="G127" s="19"/>
      <c r="H127" s="20"/>
      <c r="I127" s="20"/>
      <c r="J127" s="21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34"/>
      <c r="Y127" s="34"/>
      <c r="Z127" s="34"/>
      <c r="AA127" s="19"/>
      <c r="AB127" s="34"/>
      <c r="AC127" s="34"/>
      <c r="AD127" s="34"/>
      <c r="AE127" s="34"/>
      <c r="AF127" s="19"/>
      <c r="AG127" s="34"/>
      <c r="AH127" s="40"/>
      <c r="AI127" s="40"/>
      <c r="AJ127" s="40"/>
      <c r="AK127" s="40"/>
      <c r="AL127" s="19"/>
      <c r="AM127" s="19"/>
      <c r="AN127" s="19"/>
    </row>
    <row r="128" spans="1:41" x14ac:dyDescent="0.25">
      <c r="B128" s="6" t="s">
        <v>771</v>
      </c>
      <c r="C128" s="8" t="s">
        <v>820</v>
      </c>
      <c r="D128" s="10"/>
      <c r="E128" s="7" t="s">
        <v>825</v>
      </c>
      <c r="F128" s="7" t="s">
        <v>20</v>
      </c>
      <c r="G128" s="7" t="s">
        <v>10</v>
      </c>
      <c r="H128" s="10">
        <v>8856852010</v>
      </c>
      <c r="I128" s="10" t="s">
        <v>821</v>
      </c>
      <c r="J128" s="46" t="s">
        <v>822</v>
      </c>
      <c r="K128" s="7" t="s">
        <v>823</v>
      </c>
      <c r="L128" s="7" t="s">
        <v>824</v>
      </c>
      <c r="M128" s="7"/>
      <c r="N128" s="7">
        <v>35</v>
      </c>
      <c r="O128" s="7">
        <v>5</v>
      </c>
      <c r="P128" s="7">
        <v>0</v>
      </c>
      <c r="Q128" s="7">
        <f>(N128*O128)+P128</f>
        <v>175</v>
      </c>
      <c r="R128" s="74">
        <f>U4</f>
        <v>689.28571428571422</v>
      </c>
      <c r="S128" s="74">
        <f>R128/Q128</f>
        <v>3.9387755102040813</v>
      </c>
      <c r="T128" s="7">
        <v>4</v>
      </c>
      <c r="U128" s="75">
        <f>T128+S128</f>
        <v>7.9387755102040813</v>
      </c>
      <c r="V128" s="7">
        <v>821</v>
      </c>
      <c r="W128" s="7"/>
      <c r="X128" s="36">
        <f>X3/6</f>
        <v>71.212121212121204</v>
      </c>
      <c r="Y128" s="36">
        <f>Y3</f>
        <v>41.857142857142854</v>
      </c>
      <c r="Z128" s="36">
        <f>Z3*1.5</f>
        <v>5.625</v>
      </c>
      <c r="AA128" s="7">
        <f>AA2</f>
        <v>150</v>
      </c>
      <c r="AB128" s="36">
        <f>U128*2.1</f>
        <v>16.671428571428571</v>
      </c>
      <c r="AC128" s="36"/>
      <c r="AD128" s="36">
        <f>AD2/12</f>
        <v>83.333333333333329</v>
      </c>
      <c r="AE128" s="36">
        <f>AE3</f>
        <v>40</v>
      </c>
      <c r="AF128" s="7">
        <f>AF3</f>
        <v>32</v>
      </c>
      <c r="AG128" s="36">
        <f>AG3</f>
        <v>430</v>
      </c>
      <c r="AH128" s="41">
        <f>V128+X128+Y128+Z128+AA128+AB128+AC128+AD128+AE128+AF128+AG128</f>
        <v>1691.699025974026</v>
      </c>
      <c r="AI128" s="41">
        <f>AH128/1.05</f>
        <v>1611.1419294990724</v>
      </c>
      <c r="AJ128" s="42">
        <f>AI128-Y3</f>
        <v>1569.2847866419295</v>
      </c>
      <c r="AK128" s="42">
        <f>AH128*1.05</f>
        <v>1776.2839772727273</v>
      </c>
      <c r="AL128" s="14">
        <f>AH128*1.1</f>
        <v>1860.8689285714288</v>
      </c>
      <c r="AM128" s="14">
        <f>AH128*1.15</f>
        <v>1945.4538798701296</v>
      </c>
      <c r="AN128" s="14">
        <f>AH128*1.25</f>
        <v>2114.6237824675327</v>
      </c>
    </row>
    <row r="129" spans="1:41" ht="30" x14ac:dyDescent="0.25">
      <c r="B129" s="6" t="s">
        <v>365</v>
      </c>
      <c r="C129" s="8" t="s">
        <v>180</v>
      </c>
      <c r="D129" s="10"/>
      <c r="E129" s="7" t="s">
        <v>122</v>
      </c>
      <c r="F129" s="7" t="s">
        <v>20</v>
      </c>
      <c r="G129" s="7" t="s">
        <v>168</v>
      </c>
      <c r="H129" s="10">
        <v>8713906080</v>
      </c>
      <c r="I129" s="46" t="s">
        <v>704</v>
      </c>
      <c r="J129" s="46" t="s">
        <v>703</v>
      </c>
      <c r="K129" s="7" t="s">
        <v>169</v>
      </c>
      <c r="L129" s="7" t="s">
        <v>170</v>
      </c>
      <c r="M129" s="7"/>
      <c r="N129" s="7">
        <v>25</v>
      </c>
      <c r="O129" s="7">
        <v>5</v>
      </c>
      <c r="P129" s="7">
        <v>0</v>
      </c>
      <c r="Q129" s="7">
        <f>(N129*O129)+P129</f>
        <v>125</v>
      </c>
      <c r="R129" s="74">
        <f>U4</f>
        <v>689.28571428571422</v>
      </c>
      <c r="S129" s="74">
        <f>R129/Q129</f>
        <v>5.5142857142857133</v>
      </c>
      <c r="T129" s="7">
        <v>4</v>
      </c>
      <c r="U129" s="75">
        <f>T129+S129</f>
        <v>9.5142857142857125</v>
      </c>
      <c r="V129" s="7">
        <v>891</v>
      </c>
      <c r="W129" s="7"/>
      <c r="X129" s="36">
        <f>X3/6</f>
        <v>71.212121212121204</v>
      </c>
      <c r="Y129" s="36">
        <f>Y3</f>
        <v>41.857142857142854</v>
      </c>
      <c r="Z129" s="36">
        <f>Z3*1.5</f>
        <v>5.625</v>
      </c>
      <c r="AA129" s="7">
        <f>AA2</f>
        <v>150</v>
      </c>
      <c r="AB129" s="36">
        <f>U129*2.1</f>
        <v>19.979999999999997</v>
      </c>
      <c r="AC129" s="36"/>
      <c r="AD129" s="36"/>
      <c r="AE129" s="36">
        <f>AE3</f>
        <v>40</v>
      </c>
      <c r="AF129" s="7">
        <f>AF3</f>
        <v>32</v>
      </c>
      <c r="AG129" s="36">
        <f>AG3</f>
        <v>430</v>
      </c>
      <c r="AH129" s="41">
        <f>V129+X129+Y129+Z129+AA129+AB129+AC129+AD129+AE129+AF129+AG129</f>
        <v>1681.6742640692642</v>
      </c>
      <c r="AI129" s="41">
        <f>AH129/1.05</f>
        <v>1601.5945372088229</v>
      </c>
      <c r="AJ129" s="42">
        <f>AI129-Y3</f>
        <v>1559.73739435168</v>
      </c>
      <c r="AK129" s="42">
        <f>AH129*1.05</f>
        <v>1765.7579772727274</v>
      </c>
      <c r="AL129" s="14">
        <f>AH129*1.1</f>
        <v>1849.8416904761907</v>
      </c>
      <c r="AM129" s="14">
        <f>AH129*1.15</f>
        <v>1933.9254036796535</v>
      </c>
      <c r="AN129" s="14">
        <f>AH129*1.25</f>
        <v>2102.0928300865803</v>
      </c>
    </row>
    <row r="130" spans="1:41" x14ac:dyDescent="0.25">
      <c r="B130" s="6" t="s">
        <v>366</v>
      </c>
      <c r="C130" s="8" t="s">
        <v>171</v>
      </c>
      <c r="D130" s="10"/>
      <c r="E130" s="7" t="s">
        <v>47</v>
      </c>
      <c r="F130" s="7" t="s">
        <v>172</v>
      </c>
      <c r="G130" s="7" t="s">
        <v>168</v>
      </c>
      <c r="H130" s="10" t="s">
        <v>173</v>
      </c>
      <c r="I130" s="46" t="s">
        <v>705</v>
      </c>
      <c r="J130" s="46" t="s">
        <v>706</v>
      </c>
      <c r="K130" s="7" t="s">
        <v>707</v>
      </c>
      <c r="L130" s="7" t="s">
        <v>708</v>
      </c>
      <c r="M130" s="7"/>
      <c r="N130" s="7">
        <v>25</v>
      </c>
      <c r="O130" s="7">
        <v>3</v>
      </c>
      <c r="P130" s="7">
        <v>0</v>
      </c>
      <c r="Q130" s="7">
        <f>(N130*O130)+P130</f>
        <v>75</v>
      </c>
      <c r="R130" s="74">
        <f>U4</f>
        <v>689.28571428571422</v>
      </c>
      <c r="S130" s="74">
        <f>R130/Q130</f>
        <v>9.1904761904761898</v>
      </c>
      <c r="T130" s="7">
        <v>4</v>
      </c>
      <c r="U130" s="75">
        <f>T130+S130</f>
        <v>13.19047619047619</v>
      </c>
      <c r="V130" s="7">
        <v>962</v>
      </c>
      <c r="W130" s="7"/>
      <c r="X130" s="36">
        <f>X3/6</f>
        <v>71.212121212121204</v>
      </c>
      <c r="Y130" s="36">
        <f>Y3</f>
        <v>41.857142857142854</v>
      </c>
      <c r="Z130" s="36">
        <f>Z3*1.5</f>
        <v>5.625</v>
      </c>
      <c r="AA130" s="7">
        <f>AA2</f>
        <v>150</v>
      </c>
      <c r="AB130" s="36">
        <f>U130*2.1</f>
        <v>27.7</v>
      </c>
      <c r="AC130" s="36"/>
      <c r="AD130" s="36"/>
      <c r="AE130" s="36">
        <f>AE3</f>
        <v>40</v>
      </c>
      <c r="AF130" s="7">
        <f>AF3</f>
        <v>32</v>
      </c>
      <c r="AG130" s="36">
        <f>AG3</f>
        <v>430</v>
      </c>
      <c r="AH130" s="41">
        <f>V130+X130+Y130+Z130+AA130+AB130+AC130+AD130+AE130+AF130+AG130</f>
        <v>1760.3942640692642</v>
      </c>
      <c r="AI130" s="41">
        <f>AH130/1.05</f>
        <v>1676.5659657802514</v>
      </c>
      <c r="AJ130" s="42">
        <f>AI130-Y3</f>
        <v>1634.7088229231085</v>
      </c>
      <c r="AK130" s="42">
        <f>AH130*1.05</f>
        <v>1848.4139772727274</v>
      </c>
      <c r="AL130" s="14">
        <f>AH130*1.1</f>
        <v>1936.4336904761908</v>
      </c>
      <c r="AM130" s="14">
        <f>AH130*1.15</f>
        <v>2024.4534036796535</v>
      </c>
      <c r="AN130" s="14">
        <f>AH130*1.25</f>
        <v>2200.4928300865804</v>
      </c>
    </row>
    <row r="131" spans="1:41" x14ac:dyDescent="0.25">
      <c r="B131" s="6" t="s">
        <v>367</v>
      </c>
      <c r="C131" s="8" t="s">
        <v>174</v>
      </c>
      <c r="D131" s="10">
        <v>86</v>
      </c>
      <c r="E131" s="7" t="s">
        <v>21</v>
      </c>
      <c r="F131" s="7" t="s">
        <v>166</v>
      </c>
      <c r="G131" s="7" t="s">
        <v>168</v>
      </c>
      <c r="H131" s="10"/>
      <c r="I131" s="46" t="s">
        <v>709</v>
      </c>
      <c r="J131" s="46" t="s">
        <v>710</v>
      </c>
      <c r="K131" s="7" t="s">
        <v>175</v>
      </c>
      <c r="L131" s="7" t="s">
        <v>711</v>
      </c>
      <c r="M131" s="7"/>
      <c r="N131" s="7">
        <v>25</v>
      </c>
      <c r="O131" s="7">
        <v>4</v>
      </c>
      <c r="P131" s="7">
        <v>12</v>
      </c>
      <c r="Q131" s="7">
        <f>(N131*O131)+P131</f>
        <v>112</v>
      </c>
      <c r="R131" s="74">
        <f>U4</f>
        <v>689.28571428571422</v>
      </c>
      <c r="S131" s="74">
        <f>R131/Q131</f>
        <v>6.1543367346938771</v>
      </c>
      <c r="T131" s="7">
        <v>4</v>
      </c>
      <c r="U131" s="75">
        <f>T131+S131</f>
        <v>10.154336734693878</v>
      </c>
      <c r="V131" s="7">
        <v>980</v>
      </c>
      <c r="W131" s="7"/>
      <c r="X131" s="36">
        <f>X3/6</f>
        <v>71.212121212121204</v>
      </c>
      <c r="Y131" s="36">
        <f>Y3</f>
        <v>41.857142857142854</v>
      </c>
      <c r="Z131" s="36">
        <f>Z3*1.5</f>
        <v>5.625</v>
      </c>
      <c r="AA131" s="7">
        <f>AA2</f>
        <v>150</v>
      </c>
      <c r="AB131" s="36">
        <f>U131*2.1</f>
        <v>21.324107142857144</v>
      </c>
      <c r="AC131" s="36"/>
      <c r="AD131" s="36"/>
      <c r="AE131" s="36">
        <f>AE3</f>
        <v>40</v>
      </c>
      <c r="AF131" s="7">
        <f>AF3</f>
        <v>32</v>
      </c>
      <c r="AG131" s="36">
        <f>AG3</f>
        <v>430</v>
      </c>
      <c r="AH131" s="41">
        <f>V131+X131+Y131+Z131+AA131+AB131+AC131+AD131+AE131+AF131+AG131</f>
        <v>1772.0183712121213</v>
      </c>
      <c r="AI131" s="41">
        <f>AH131/1.05</f>
        <v>1687.6365440115439</v>
      </c>
      <c r="AJ131" s="42">
        <f>AI131-Y3</f>
        <v>1645.7794011544011</v>
      </c>
      <c r="AK131" s="42">
        <f>AH131*1.05</f>
        <v>1860.6192897727274</v>
      </c>
      <c r="AL131" s="14">
        <f>AH131*1.1</f>
        <v>1949.2202083333336</v>
      </c>
      <c r="AM131" s="14">
        <f>AH131*1.15</f>
        <v>2037.8211268939394</v>
      </c>
      <c r="AN131" s="14">
        <f>AH131*1.25</f>
        <v>2215.0229640151515</v>
      </c>
    </row>
    <row r="132" spans="1:41" x14ac:dyDescent="0.25">
      <c r="B132" s="6" t="s">
        <v>758</v>
      </c>
      <c r="C132" s="8" t="s">
        <v>759</v>
      </c>
      <c r="D132" s="10"/>
      <c r="E132" s="7" t="s">
        <v>35</v>
      </c>
      <c r="F132" s="7" t="s">
        <v>556</v>
      </c>
      <c r="G132" s="7" t="s">
        <v>168</v>
      </c>
      <c r="H132" s="10">
        <v>8713906080</v>
      </c>
      <c r="I132" s="46"/>
      <c r="J132" s="46"/>
      <c r="K132" s="7"/>
      <c r="L132" s="7"/>
      <c r="M132" s="7"/>
      <c r="N132" s="7">
        <v>25</v>
      </c>
      <c r="O132" s="7">
        <v>5</v>
      </c>
      <c r="P132" s="7">
        <v>0</v>
      </c>
      <c r="Q132" s="7">
        <v>125</v>
      </c>
      <c r="R132" s="74">
        <f>U4</f>
        <v>689.28571428571422</v>
      </c>
      <c r="S132" s="74">
        <f>R132/Q132</f>
        <v>5.5142857142857133</v>
      </c>
      <c r="T132" s="7">
        <v>4</v>
      </c>
      <c r="U132" s="75">
        <f>T132+S132</f>
        <v>9.5142857142857125</v>
      </c>
      <c r="V132" s="7">
        <v>891</v>
      </c>
      <c r="W132" s="7"/>
      <c r="X132" s="36">
        <f>X3/6</f>
        <v>71.212121212121204</v>
      </c>
      <c r="Y132" s="36">
        <f>Y3</f>
        <v>41.857142857142854</v>
      </c>
      <c r="Z132" s="36">
        <f>Z3*1.5</f>
        <v>5.625</v>
      </c>
      <c r="AA132" s="7">
        <f>AA2</f>
        <v>150</v>
      </c>
      <c r="AB132" s="36">
        <f>U132*2.1</f>
        <v>19.979999999999997</v>
      </c>
      <c r="AC132" s="36"/>
      <c r="AD132" s="36">
        <f>AD2/6</f>
        <v>166.66666666666666</v>
      </c>
      <c r="AE132" s="36">
        <f>AE3</f>
        <v>40</v>
      </c>
      <c r="AF132" s="7">
        <f>AF3</f>
        <v>32</v>
      </c>
      <c r="AG132" s="36">
        <f>AG3</f>
        <v>430</v>
      </c>
      <c r="AH132" s="41">
        <f>V132+X132+Y132+Z132+AA132+AB132+AC132+AD132+AE132+AF132+AG132</f>
        <v>1848.3409307359309</v>
      </c>
      <c r="AI132" s="41">
        <f>AH132/1.05</f>
        <v>1760.3246959389817</v>
      </c>
      <c r="AJ132" s="42">
        <f>AI132-Y3</f>
        <v>1718.4675530818388</v>
      </c>
      <c r="AK132" s="42">
        <f>AH132*1.05</f>
        <v>1940.7579772727274</v>
      </c>
      <c r="AL132" s="14">
        <f>AH132*1.1</f>
        <v>2033.1750238095242</v>
      </c>
      <c r="AM132" s="14">
        <f>AH132*1.15</f>
        <v>2125.5920703463203</v>
      </c>
      <c r="AN132" s="14">
        <f>AH132*1.25</f>
        <v>2310.4261634199138</v>
      </c>
    </row>
    <row r="133" spans="1:41" x14ac:dyDescent="0.25">
      <c r="B133" s="2"/>
      <c r="C133" s="4"/>
      <c r="D133" s="5"/>
      <c r="E133" s="3"/>
      <c r="F133" s="3"/>
      <c r="G133" s="3"/>
      <c r="H133" s="5"/>
      <c r="I133" s="5"/>
      <c r="J133" s="1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5"/>
      <c r="Y133" s="35"/>
      <c r="Z133" s="35"/>
      <c r="AA133" s="3"/>
      <c r="AB133" s="35"/>
      <c r="AC133" s="35"/>
      <c r="AD133" s="35"/>
      <c r="AE133" s="35"/>
      <c r="AF133" s="3"/>
      <c r="AG133" s="35"/>
      <c r="AH133" s="42"/>
      <c r="AI133" s="42"/>
      <c r="AJ133" s="42"/>
      <c r="AK133" s="42"/>
      <c r="AL133" s="3"/>
      <c r="AM133" s="3"/>
      <c r="AN133" s="23"/>
    </row>
    <row r="134" spans="1:41" x14ac:dyDescent="0.25">
      <c r="B134" s="24" t="s">
        <v>240</v>
      </c>
      <c r="C134" s="18"/>
      <c r="D134" s="20"/>
      <c r="E134" s="19"/>
      <c r="F134" s="19"/>
      <c r="G134" s="19"/>
      <c r="H134" s="20"/>
      <c r="I134" s="20"/>
      <c r="J134" s="21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34"/>
      <c r="Y134" s="34"/>
      <c r="Z134" s="34"/>
      <c r="AA134" s="19"/>
      <c r="AB134" s="34"/>
      <c r="AC134" s="34"/>
      <c r="AD134" s="34"/>
      <c r="AE134" s="34"/>
      <c r="AF134" s="19"/>
      <c r="AG134" s="34"/>
      <c r="AH134" s="40"/>
      <c r="AI134" s="40"/>
      <c r="AJ134" s="40"/>
      <c r="AK134" s="40"/>
      <c r="AL134" s="19"/>
      <c r="AM134" s="19"/>
      <c r="AN134" s="19"/>
    </row>
    <row r="135" spans="1:41" x14ac:dyDescent="0.25">
      <c r="A135" t="s">
        <v>177</v>
      </c>
      <c r="B135" s="60" t="s">
        <v>478</v>
      </c>
      <c r="C135" s="8" t="s">
        <v>479</v>
      </c>
      <c r="D135" s="10"/>
      <c r="E135" s="7" t="s">
        <v>480</v>
      </c>
      <c r="F135" s="7" t="s">
        <v>96</v>
      </c>
      <c r="G135" s="7" t="s">
        <v>14</v>
      </c>
      <c r="H135" s="10" t="s">
        <v>481</v>
      </c>
      <c r="I135" s="46" t="s">
        <v>688</v>
      </c>
      <c r="J135" s="46" t="s">
        <v>482</v>
      </c>
      <c r="K135" s="7" t="s">
        <v>688</v>
      </c>
      <c r="L135" s="7" t="s">
        <v>717</v>
      </c>
      <c r="M135" s="7"/>
      <c r="N135" s="7">
        <v>21</v>
      </c>
      <c r="O135" s="7">
        <v>3</v>
      </c>
      <c r="P135" s="7">
        <v>2</v>
      </c>
      <c r="Q135" s="7">
        <f>(N135*O135)+P135</f>
        <v>65</v>
      </c>
      <c r="R135" s="74">
        <f>U4</f>
        <v>689.28571428571422</v>
      </c>
      <c r="S135" s="74">
        <f>R135/Q135</f>
        <v>10.604395604395604</v>
      </c>
      <c r="T135" s="7">
        <v>4</v>
      </c>
      <c r="U135" s="75">
        <f>T135+S135</f>
        <v>14.604395604395604</v>
      </c>
      <c r="V135" s="7">
        <v>1620</v>
      </c>
      <c r="W135" s="7"/>
      <c r="X135" s="36">
        <f>X3/6</f>
        <v>71.212121212121204</v>
      </c>
      <c r="Y135" s="36">
        <f>Y3</f>
        <v>41.857142857142854</v>
      </c>
      <c r="Z135" s="36">
        <f>Z3*1.5</f>
        <v>5.625</v>
      </c>
      <c r="AA135" s="7">
        <f>AA2</f>
        <v>150</v>
      </c>
      <c r="AB135" s="36">
        <f>U135*2.1</f>
        <v>30.669230769230769</v>
      </c>
      <c r="AC135" s="36"/>
      <c r="AD135" s="36"/>
      <c r="AE135" s="36">
        <f>AE3</f>
        <v>40</v>
      </c>
      <c r="AF135" s="7">
        <f>AF3</f>
        <v>32</v>
      </c>
      <c r="AG135" s="36">
        <f>AG3</f>
        <v>430</v>
      </c>
      <c r="AH135" s="41">
        <f>V135+X135+Y135+Z135+AA135+AB135+AC135+AD135+AE135+AF135+AG135</f>
        <v>2421.3634948384952</v>
      </c>
      <c r="AI135" s="41">
        <f>AH135/1.05</f>
        <v>2306.0604712747572</v>
      </c>
      <c r="AJ135" s="42">
        <f>AI135-Y3</f>
        <v>2264.2033284176146</v>
      </c>
      <c r="AK135" s="42">
        <f>AH135*1.05</f>
        <v>2542.43166958042</v>
      </c>
      <c r="AL135" s="14">
        <f>AH135*1.1</f>
        <v>2663.4998443223449</v>
      </c>
      <c r="AM135" s="14">
        <f>AH135*1.15</f>
        <v>2784.5680190642693</v>
      </c>
      <c r="AN135" s="14">
        <f>AH135*1.25</f>
        <v>3026.704368548119</v>
      </c>
    </row>
    <row r="136" spans="1:41" ht="30" x14ac:dyDescent="0.25">
      <c r="A136" t="s">
        <v>177</v>
      </c>
      <c r="B136" s="6" t="s">
        <v>428</v>
      </c>
      <c r="C136" s="8" t="s">
        <v>426</v>
      </c>
      <c r="D136" s="10">
        <v>100</v>
      </c>
      <c r="E136" s="7" t="s">
        <v>427</v>
      </c>
      <c r="F136" s="7" t="s">
        <v>264</v>
      </c>
      <c r="G136" s="7" t="s">
        <v>10</v>
      </c>
      <c r="H136" s="10" t="s">
        <v>425</v>
      </c>
      <c r="I136" s="46" t="s">
        <v>719</v>
      </c>
      <c r="J136" s="46" t="s">
        <v>423</v>
      </c>
      <c r="K136" s="7" t="s">
        <v>718</v>
      </c>
      <c r="L136" s="7" t="s">
        <v>424</v>
      </c>
      <c r="M136" s="7"/>
      <c r="N136" s="7">
        <v>35</v>
      </c>
      <c r="O136" s="7">
        <v>4</v>
      </c>
      <c r="P136" s="7">
        <v>0</v>
      </c>
      <c r="Q136" s="7">
        <f>(N136*O136)+P136</f>
        <v>140</v>
      </c>
      <c r="R136" s="74">
        <f>U4</f>
        <v>689.28571428571422</v>
      </c>
      <c r="S136" s="74">
        <f>R136/Q136</f>
        <v>4.9234693877551017</v>
      </c>
      <c r="T136" s="7">
        <v>4</v>
      </c>
      <c r="U136" s="75">
        <f>T136+S136</f>
        <v>8.9234693877551017</v>
      </c>
      <c r="V136" s="7">
        <v>869</v>
      </c>
      <c r="W136" s="7"/>
      <c r="X136" s="36">
        <f>X3/6</f>
        <v>71.212121212121204</v>
      </c>
      <c r="Y136" s="36">
        <f>Y3</f>
        <v>41.857142857142854</v>
      </c>
      <c r="Z136" s="36">
        <f>Z3*1.5</f>
        <v>5.625</v>
      </c>
      <c r="AA136" s="7">
        <f>AA2</f>
        <v>150</v>
      </c>
      <c r="AB136" s="36">
        <f>U136*4.1</f>
        <v>36.586224489795917</v>
      </c>
      <c r="AC136" s="36"/>
      <c r="AD136" s="36"/>
      <c r="AE136" s="36">
        <f>AE3</f>
        <v>40</v>
      </c>
      <c r="AF136" s="7">
        <f>AF3</f>
        <v>32</v>
      </c>
      <c r="AG136" s="36">
        <f>AG3*2.1825</f>
        <v>938.47500000000002</v>
      </c>
      <c r="AH136" s="41">
        <f>V136+X136+Y136+Z136+AA136+AB136+AC136+AD136+AE136+AF136+AG136</f>
        <v>2184.7554885590603</v>
      </c>
      <c r="AI136" s="41">
        <f>AH136/1.05</f>
        <v>2080.7195129133906</v>
      </c>
      <c r="AJ136" s="42">
        <f>AI136-Y3</f>
        <v>2038.8623700562478</v>
      </c>
      <c r="AK136" s="42">
        <f>AH136*1.05</f>
        <v>2293.9932629870132</v>
      </c>
      <c r="AL136" s="14">
        <f>AH136*1.1</f>
        <v>2403.2310374149665</v>
      </c>
      <c r="AM136" s="14">
        <f>AH136*1.15</f>
        <v>2512.468811842919</v>
      </c>
      <c r="AN136" s="14">
        <f>AH136*1.25</f>
        <v>2730.9443606988252</v>
      </c>
    </row>
    <row r="137" spans="1:41" ht="45" x14ac:dyDescent="0.25">
      <c r="A137" t="s">
        <v>177</v>
      </c>
      <c r="B137" s="6" t="s">
        <v>429</v>
      </c>
      <c r="C137" s="8" t="s">
        <v>414</v>
      </c>
      <c r="D137" s="10">
        <v>62</v>
      </c>
      <c r="E137" s="7" t="s">
        <v>39</v>
      </c>
      <c r="F137" s="7" t="s">
        <v>264</v>
      </c>
      <c r="G137" s="7" t="s">
        <v>14</v>
      </c>
      <c r="H137" s="10" t="s">
        <v>417</v>
      </c>
      <c r="I137" s="46" t="s">
        <v>688</v>
      </c>
      <c r="J137" s="46" t="s">
        <v>416</v>
      </c>
      <c r="K137" s="7" t="s">
        <v>688</v>
      </c>
      <c r="L137" s="7" t="s">
        <v>415</v>
      </c>
      <c r="M137" s="7"/>
      <c r="N137" s="7">
        <v>21</v>
      </c>
      <c r="O137" s="7">
        <v>4</v>
      </c>
      <c r="P137" s="7">
        <v>0</v>
      </c>
      <c r="Q137" s="7">
        <f>(N137*O137)+P137</f>
        <v>84</v>
      </c>
      <c r="R137" s="74">
        <f>U4</f>
        <v>689.28571428571422</v>
      </c>
      <c r="S137" s="74">
        <f>R137/Q137</f>
        <v>8.2057823129251695</v>
      </c>
      <c r="T137" s="7">
        <v>4</v>
      </c>
      <c r="U137" s="75">
        <f>T137+S137</f>
        <v>12.205782312925169</v>
      </c>
      <c r="V137" s="7">
        <v>869</v>
      </c>
      <c r="W137" s="7"/>
      <c r="X137" s="36">
        <f>X3/6</f>
        <v>71.212121212121204</v>
      </c>
      <c r="Y137" s="36">
        <f>Y3</f>
        <v>41.857142857142854</v>
      </c>
      <c r="Z137" s="36">
        <f>Z3*1.5</f>
        <v>5.625</v>
      </c>
      <c r="AA137" s="7">
        <f>AA2*2</f>
        <v>300</v>
      </c>
      <c r="AB137" s="36">
        <f>U137*4.1</f>
        <v>50.043707482993192</v>
      </c>
      <c r="AC137" s="36"/>
      <c r="AD137" s="36"/>
      <c r="AE137" s="36">
        <f>AE3</f>
        <v>40</v>
      </c>
      <c r="AF137" s="7">
        <f>AF3</f>
        <v>32</v>
      </c>
      <c r="AG137" s="36">
        <f>AG3*2.15</f>
        <v>924.5</v>
      </c>
      <c r="AH137" s="41">
        <f>V137+X137+Y137+Z137+AA137+AB137+AC137+AD137+AE137+AF137+AG137</f>
        <v>2334.2379715522575</v>
      </c>
      <c r="AI137" s="41">
        <f>AH137/1.05</f>
        <v>2223.0837824307214</v>
      </c>
      <c r="AJ137" s="42">
        <f>AI137-Y3</f>
        <v>2181.2266395735787</v>
      </c>
      <c r="AK137" s="42">
        <f>AH137*1.05</f>
        <v>2450.9498701298703</v>
      </c>
      <c r="AL137" s="14">
        <f>AH137*1.1</f>
        <v>2567.6617687074836</v>
      </c>
      <c r="AM137" s="14">
        <f>AH137*1.15</f>
        <v>2684.373667285096</v>
      </c>
      <c r="AN137" s="14">
        <f>AH137*1.25</f>
        <v>2917.7974644403221</v>
      </c>
    </row>
    <row r="138" spans="1:41" x14ac:dyDescent="0.25">
      <c r="B138" s="6" t="s">
        <v>430</v>
      </c>
      <c r="C138" s="8" t="s">
        <v>239</v>
      </c>
      <c r="D138" s="10"/>
      <c r="E138" s="7" t="s">
        <v>242</v>
      </c>
      <c r="F138" s="7" t="s">
        <v>241</v>
      </c>
      <c r="G138" s="7" t="s">
        <v>46</v>
      </c>
      <c r="H138" s="10"/>
      <c r="I138" s="46" t="s">
        <v>712</v>
      </c>
      <c r="J138" s="46" t="s">
        <v>714</v>
      </c>
      <c r="K138" s="7" t="s">
        <v>688</v>
      </c>
      <c r="L138" s="7" t="s">
        <v>713</v>
      </c>
      <c r="M138" s="7"/>
      <c r="N138" s="7">
        <v>35</v>
      </c>
      <c r="O138" s="7">
        <v>4</v>
      </c>
      <c r="P138" s="7">
        <v>0</v>
      </c>
      <c r="Q138" s="7">
        <f>(N138*O138)+P138</f>
        <v>140</v>
      </c>
      <c r="R138" s="74">
        <f>U4</f>
        <v>689.28571428571422</v>
      </c>
      <c r="S138" s="74">
        <f>R138/Q138</f>
        <v>4.9234693877551017</v>
      </c>
      <c r="T138" s="7">
        <v>4</v>
      </c>
      <c r="U138" s="75">
        <f>T138+S138</f>
        <v>8.9234693877551017</v>
      </c>
      <c r="V138" s="7">
        <v>1407</v>
      </c>
      <c r="W138" s="7"/>
      <c r="X138" s="36">
        <f>X3/6</f>
        <v>71.212121212121204</v>
      </c>
      <c r="Y138" s="36">
        <f>Y3</f>
        <v>41.857142857142854</v>
      </c>
      <c r="Z138" s="36">
        <f>Z3*1.5</f>
        <v>5.625</v>
      </c>
      <c r="AA138" s="7">
        <f>AA2</f>
        <v>150</v>
      </c>
      <c r="AB138" s="36">
        <f>U138*4.1</f>
        <v>36.586224489795917</v>
      </c>
      <c r="AC138" s="36"/>
      <c r="AD138" s="36"/>
      <c r="AE138" s="36">
        <f>AE3</f>
        <v>40</v>
      </c>
      <c r="AF138" s="7">
        <f>AF3</f>
        <v>32</v>
      </c>
      <c r="AG138" s="36">
        <f>AG3</f>
        <v>430</v>
      </c>
      <c r="AH138" s="41">
        <f>V138+X138+Y138+Z138+AA138+AB138+AC138+AD138+AE138+AF138+AG138</f>
        <v>2214.2804885590604</v>
      </c>
      <c r="AI138" s="41">
        <f>AH138/1.05</f>
        <v>2108.8385605324384</v>
      </c>
      <c r="AJ138" s="42">
        <f>AI138-Y3</f>
        <v>2066.9814176752957</v>
      </c>
      <c r="AK138" s="42">
        <f>AH138*1.05</f>
        <v>2324.9945129870134</v>
      </c>
      <c r="AL138" s="14">
        <f>AH138*1.1</f>
        <v>2435.7085374149665</v>
      </c>
      <c r="AM138" s="14">
        <f>AH138*1.15</f>
        <v>2546.4225618429191</v>
      </c>
      <c r="AN138" s="14">
        <f>AH138*1.25</f>
        <v>2767.8506106988252</v>
      </c>
    </row>
    <row r="139" spans="1:41" x14ac:dyDescent="0.25">
      <c r="A139" t="s">
        <v>177</v>
      </c>
      <c r="B139" s="6" t="s">
        <v>473</v>
      </c>
      <c r="C139" s="8" t="s">
        <v>472</v>
      </c>
      <c r="D139" s="10"/>
      <c r="E139" s="7" t="s">
        <v>462</v>
      </c>
      <c r="F139" s="7" t="s">
        <v>160</v>
      </c>
      <c r="G139" s="7" t="s">
        <v>475</v>
      </c>
      <c r="H139" s="10">
        <v>9713307010</v>
      </c>
      <c r="I139" s="46" t="s">
        <v>716</v>
      </c>
      <c r="J139" s="46" t="s">
        <v>476</v>
      </c>
      <c r="K139" s="7" t="s">
        <v>715</v>
      </c>
      <c r="L139" s="7" t="s">
        <v>477</v>
      </c>
      <c r="M139" s="7"/>
      <c r="N139" s="7">
        <v>35</v>
      </c>
      <c r="O139" s="7">
        <v>5</v>
      </c>
      <c r="P139" s="7">
        <v>0</v>
      </c>
      <c r="Q139" s="7">
        <f>(N139*O139)+P139</f>
        <v>175</v>
      </c>
      <c r="R139" s="74">
        <f>U4</f>
        <v>689.28571428571422</v>
      </c>
      <c r="S139" s="74">
        <f>R139/Q139</f>
        <v>3.9387755102040813</v>
      </c>
      <c r="T139" s="7">
        <v>4</v>
      </c>
      <c r="U139" s="75">
        <f>T139+S139</f>
        <v>7.9387755102040813</v>
      </c>
      <c r="V139" s="7">
        <v>836</v>
      </c>
      <c r="W139" s="7"/>
      <c r="X139" s="36">
        <f>X3/6</f>
        <v>71.212121212121204</v>
      </c>
      <c r="Y139" s="36">
        <f>Y3</f>
        <v>41.857142857142854</v>
      </c>
      <c r="Z139" s="36">
        <f>Z3*1.5</f>
        <v>5.625</v>
      </c>
      <c r="AA139" s="7">
        <f>AA2</f>
        <v>150</v>
      </c>
      <c r="AB139" s="36">
        <f>U139*2.1</f>
        <v>16.671428571428571</v>
      </c>
      <c r="AC139" s="36"/>
      <c r="AD139" s="36"/>
      <c r="AE139" s="36">
        <f>AE3</f>
        <v>40</v>
      </c>
      <c r="AF139" s="7">
        <f>AF3</f>
        <v>32</v>
      </c>
      <c r="AG139" s="36">
        <f>AG3*1.17</f>
        <v>503.09999999999997</v>
      </c>
      <c r="AH139" s="41">
        <f>V139+X139+Y139+Z139+AA139+AB139+AC139+AD139+AE139+AF139+AG139</f>
        <v>1696.4656926406926</v>
      </c>
      <c r="AI139" s="41">
        <f>AH139/1.05</f>
        <v>1615.6816120387548</v>
      </c>
      <c r="AJ139" s="42">
        <f>AI139-Y3</f>
        <v>1573.8244691816119</v>
      </c>
      <c r="AK139" s="42">
        <f>AH139*1.05</f>
        <v>1781.2889772727274</v>
      </c>
      <c r="AL139" s="14">
        <f>AH139*1.1</f>
        <v>1866.1122619047621</v>
      </c>
      <c r="AM139" s="14">
        <f>AH139*1.15</f>
        <v>1950.9355465367964</v>
      </c>
      <c r="AN139" s="14">
        <f>AH139*1.25</f>
        <v>2120.5821158008657</v>
      </c>
    </row>
    <row r="140" spans="1:41" s="31" customFormat="1" x14ac:dyDescent="0.25">
      <c r="B140" s="26"/>
      <c r="C140" s="27"/>
      <c r="D140" s="29"/>
      <c r="E140" s="28"/>
      <c r="F140" s="28"/>
      <c r="G140" s="28"/>
      <c r="H140" s="29"/>
      <c r="I140" s="29"/>
      <c r="J140" s="47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37"/>
      <c r="Y140" s="37"/>
      <c r="Z140" s="37"/>
      <c r="AA140" s="28"/>
      <c r="AB140" s="37"/>
      <c r="AC140" s="37"/>
      <c r="AD140" s="37"/>
      <c r="AE140" s="37"/>
      <c r="AF140" s="28"/>
      <c r="AG140" s="37"/>
      <c r="AH140" s="43"/>
      <c r="AI140" s="43"/>
      <c r="AJ140" s="43"/>
      <c r="AK140" s="43"/>
      <c r="AL140" s="30"/>
      <c r="AM140" s="30"/>
      <c r="AN140" s="30"/>
      <c r="AO140" s="80"/>
    </row>
    <row r="141" spans="1:41" s="31" customFormat="1" x14ac:dyDescent="0.25">
      <c r="B141" s="62" t="s">
        <v>547</v>
      </c>
      <c r="C141" s="63"/>
      <c r="D141" s="64"/>
      <c r="E141" s="65"/>
      <c r="F141" s="65"/>
      <c r="G141" s="65"/>
      <c r="H141" s="64"/>
      <c r="I141" s="64"/>
      <c r="J141" s="66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7"/>
      <c r="Y141" s="67"/>
      <c r="Z141" s="67"/>
      <c r="AA141" s="65"/>
      <c r="AB141" s="67"/>
      <c r="AC141" s="67"/>
      <c r="AD141" s="67"/>
      <c r="AE141" s="67"/>
      <c r="AF141" s="65"/>
      <c r="AG141" s="67"/>
      <c r="AH141" s="68"/>
      <c r="AI141" s="68"/>
      <c r="AJ141" s="68"/>
      <c r="AK141" s="68"/>
      <c r="AL141" s="69"/>
      <c r="AM141" s="69"/>
      <c r="AN141" s="69"/>
      <c r="AO141" s="80"/>
    </row>
    <row r="142" spans="1:41" s="31" customFormat="1" x14ac:dyDescent="0.25">
      <c r="B142" s="6" t="s">
        <v>745</v>
      </c>
      <c r="C142" s="8" t="s">
        <v>746</v>
      </c>
      <c r="D142" s="10"/>
      <c r="E142" s="7" t="s">
        <v>216</v>
      </c>
      <c r="F142" s="7" t="s">
        <v>741</v>
      </c>
      <c r="G142" s="7" t="s">
        <v>14</v>
      </c>
      <c r="H142" s="10">
        <v>82206886</v>
      </c>
      <c r="I142" s="10" t="s">
        <v>740</v>
      </c>
      <c r="J142" s="46" t="s">
        <v>742</v>
      </c>
      <c r="K142" s="7" t="s">
        <v>744</v>
      </c>
      <c r="L142" s="7" t="s">
        <v>743</v>
      </c>
      <c r="M142" s="7"/>
      <c r="N142" s="7">
        <v>21</v>
      </c>
      <c r="O142" s="7">
        <v>4</v>
      </c>
      <c r="P142" s="7">
        <v>0</v>
      </c>
      <c r="Q142" s="7">
        <f>(N142*O142)+P142</f>
        <v>84</v>
      </c>
      <c r="R142" s="74">
        <f>U4</f>
        <v>689.28571428571422</v>
      </c>
      <c r="S142" s="74">
        <f>R142/Q142</f>
        <v>8.2057823129251695</v>
      </c>
      <c r="T142" s="7">
        <v>4</v>
      </c>
      <c r="U142" s="75">
        <f>T142+S142</f>
        <v>12.205782312925169</v>
      </c>
      <c r="V142" s="7">
        <v>900</v>
      </c>
      <c r="W142" s="7"/>
      <c r="X142" s="36">
        <f>X3/6</f>
        <v>71.212121212121204</v>
      </c>
      <c r="Y142" s="36">
        <f>Y3</f>
        <v>41.857142857142854</v>
      </c>
      <c r="Z142" s="36">
        <f>Z3*1.5</f>
        <v>5.625</v>
      </c>
      <c r="AA142" s="7">
        <f>AA2*2</f>
        <v>300</v>
      </c>
      <c r="AB142" s="36">
        <f>(U142+U143)*2.1</f>
        <v>42.648214285714289</v>
      </c>
      <c r="AC142" s="36"/>
      <c r="AD142" s="36"/>
      <c r="AE142" s="36">
        <f>AE3</f>
        <v>40</v>
      </c>
      <c r="AF142" s="7">
        <f>AF3</f>
        <v>32</v>
      </c>
      <c r="AG142" s="36">
        <f>AG3*1.2</f>
        <v>516</v>
      </c>
      <c r="AH142" s="41">
        <f>V142+X142+Y142+Z142+AA142+AB142+AC142+AD142+AE142+AF142+AG142</f>
        <v>1949.3424783549785</v>
      </c>
      <c r="AI142" s="41">
        <f>AH142/1.05</f>
        <v>1856.5166460523603</v>
      </c>
      <c r="AJ142" s="42">
        <f>AI142-Y6</f>
        <v>1814.6595031952174</v>
      </c>
      <c r="AK142" s="42">
        <f>AH142*1.05</f>
        <v>2046.8096022727275</v>
      </c>
      <c r="AL142" s="14">
        <f>AH142*1.1</f>
        <v>2144.2767261904764</v>
      </c>
      <c r="AM142" s="14">
        <f>AH142*1.15</f>
        <v>2241.7438501082252</v>
      </c>
      <c r="AN142" s="14">
        <f>AH142*1.25</f>
        <v>2436.6780979437231</v>
      </c>
      <c r="AO142" s="80"/>
    </row>
    <row r="143" spans="1:41" s="31" customFormat="1" x14ac:dyDescent="0.25">
      <c r="B143" s="6"/>
      <c r="C143" s="8"/>
      <c r="D143" s="10"/>
      <c r="E143" s="7"/>
      <c r="F143" s="7"/>
      <c r="G143" s="7"/>
      <c r="H143" s="10"/>
      <c r="I143" s="10"/>
      <c r="J143" s="46"/>
      <c r="K143" s="7"/>
      <c r="L143" s="7"/>
      <c r="M143" s="7"/>
      <c r="N143" s="7">
        <v>21</v>
      </c>
      <c r="O143" s="7">
        <v>8</v>
      </c>
      <c r="P143" s="7">
        <v>0</v>
      </c>
      <c r="Q143" s="7">
        <f>(N143*O143)+P143</f>
        <v>168</v>
      </c>
      <c r="R143" s="74">
        <f>U4</f>
        <v>689.28571428571422</v>
      </c>
      <c r="S143" s="74">
        <f>R143/Q143</f>
        <v>4.1028911564625847</v>
      </c>
      <c r="T143" s="7">
        <v>4</v>
      </c>
      <c r="U143" s="75">
        <f>T143+S143</f>
        <v>8.1028911564625847</v>
      </c>
      <c r="V143" s="7"/>
      <c r="W143" s="7"/>
      <c r="X143" s="36"/>
      <c r="Y143" s="36"/>
      <c r="Z143" s="36"/>
      <c r="AA143" s="7"/>
      <c r="AB143" s="36"/>
      <c r="AC143" s="36"/>
      <c r="AD143" s="36"/>
      <c r="AE143" s="36"/>
      <c r="AF143" s="7"/>
      <c r="AG143" s="36"/>
      <c r="AH143" s="41"/>
      <c r="AI143" s="41"/>
      <c r="AJ143" s="41"/>
      <c r="AK143" s="42" t="s">
        <v>177</v>
      </c>
      <c r="AL143" s="14"/>
      <c r="AM143" s="14" t="s">
        <v>177</v>
      </c>
      <c r="AN143" s="14"/>
      <c r="AO143" s="80"/>
    </row>
    <row r="144" spans="1:41" x14ac:dyDescent="0.25">
      <c r="B144" s="6" t="s">
        <v>548</v>
      </c>
      <c r="C144" s="8" t="s">
        <v>549</v>
      </c>
      <c r="D144" s="10"/>
      <c r="E144" s="7" t="s">
        <v>21</v>
      </c>
      <c r="F144" s="7" t="s">
        <v>91</v>
      </c>
      <c r="G144" s="7" t="s">
        <v>500</v>
      </c>
      <c r="H144" s="10" t="s">
        <v>550</v>
      </c>
      <c r="I144" s="10" t="s">
        <v>722</v>
      </c>
      <c r="J144" s="46" t="s">
        <v>720</v>
      </c>
      <c r="K144" s="7" t="s">
        <v>721</v>
      </c>
      <c r="L144" s="7" t="s">
        <v>551</v>
      </c>
      <c r="M144" s="7"/>
      <c r="N144" s="7">
        <v>25</v>
      </c>
      <c r="O144" s="7">
        <v>4</v>
      </c>
      <c r="P144" s="7">
        <v>0</v>
      </c>
      <c r="Q144" s="7">
        <f>(N144*O144)+P144</f>
        <v>100</v>
      </c>
      <c r="R144" s="74">
        <f>U4</f>
        <v>689.28571428571422</v>
      </c>
      <c r="S144" s="74">
        <f>R144/Q144</f>
        <v>6.8928571428571423</v>
      </c>
      <c r="T144" s="7">
        <v>4</v>
      </c>
      <c r="U144" s="75">
        <f>T144+S144</f>
        <v>10.892857142857142</v>
      </c>
      <c r="V144" s="7">
        <v>1500</v>
      </c>
      <c r="W144" s="7"/>
      <c r="X144" s="36">
        <f>X3/6</f>
        <v>71.212121212121204</v>
      </c>
      <c r="Y144" s="36">
        <f>Y3</f>
        <v>41.857142857142854</v>
      </c>
      <c r="Z144" s="36">
        <f>Z3*1.5</f>
        <v>5.625</v>
      </c>
      <c r="AA144" s="7">
        <f>AA2</f>
        <v>150</v>
      </c>
      <c r="AB144" s="36">
        <f>U144*2.1</f>
        <v>22.875</v>
      </c>
      <c r="AC144" s="36"/>
      <c r="AD144" s="36"/>
      <c r="AE144" s="36">
        <f>AE3</f>
        <v>40</v>
      </c>
      <c r="AF144" s="7">
        <f>AF3</f>
        <v>32</v>
      </c>
      <c r="AG144" s="36">
        <f>AG3*1.2</f>
        <v>516</v>
      </c>
      <c r="AH144" s="41">
        <f>V144+X144+Y144+Z144+AA144+AB144+AC144+AD144+AE144+AF144+AG144</f>
        <v>2379.5692640692641</v>
      </c>
      <c r="AI144" s="41">
        <f>AH144/1.05</f>
        <v>2266.2564419707278</v>
      </c>
      <c r="AJ144" s="42">
        <f>AI144-Y3</f>
        <v>2224.3992991135851</v>
      </c>
      <c r="AK144" s="42">
        <f>AH144*1.05</f>
        <v>2498.5477272727276</v>
      </c>
      <c r="AL144" s="14">
        <f>AH144*1.1</f>
        <v>2617.5261904761905</v>
      </c>
      <c r="AM144" s="14">
        <f>AH144*1.15</f>
        <v>2736.5046536796535</v>
      </c>
      <c r="AN144" s="14">
        <f>AH144*1.25</f>
        <v>2974.4615800865804</v>
      </c>
    </row>
    <row r="145" spans="1:40" x14ac:dyDescent="0.25">
      <c r="B145" s="6" t="s">
        <v>748</v>
      </c>
      <c r="C145" s="8" t="s">
        <v>749</v>
      </c>
      <c r="D145" s="10"/>
      <c r="E145" s="7" t="s">
        <v>160</v>
      </c>
      <c r="F145" s="7" t="s">
        <v>750</v>
      </c>
      <c r="G145" s="7" t="s">
        <v>46</v>
      </c>
      <c r="H145" s="10" t="s">
        <v>751</v>
      </c>
      <c r="I145" s="10"/>
      <c r="J145" s="46" t="s">
        <v>752</v>
      </c>
      <c r="K145" s="7"/>
      <c r="L145" s="7" t="s">
        <v>753</v>
      </c>
      <c r="M145" s="7"/>
      <c r="N145" s="7">
        <v>35</v>
      </c>
      <c r="O145" s="7">
        <v>5</v>
      </c>
      <c r="P145" s="7">
        <v>0</v>
      </c>
      <c r="Q145" s="7">
        <f>(N145*O145)+P145</f>
        <v>175</v>
      </c>
      <c r="R145" s="74">
        <f>U4</f>
        <v>689.28571428571422</v>
      </c>
      <c r="S145" s="74">
        <f>R145/Q145</f>
        <v>3.9387755102040813</v>
      </c>
      <c r="T145" s="7">
        <v>4</v>
      </c>
      <c r="U145" s="75">
        <f>T145+S145</f>
        <v>7.9387755102040813</v>
      </c>
      <c r="V145" s="7">
        <v>1240</v>
      </c>
      <c r="W145" s="7"/>
      <c r="X145" s="36">
        <f>X3/6</f>
        <v>71.212121212121204</v>
      </c>
      <c r="Y145" s="36">
        <f>Y3</f>
        <v>41.857142857142854</v>
      </c>
      <c r="Z145" s="36">
        <f>Z3*1.5</f>
        <v>5.625</v>
      </c>
      <c r="AA145" s="7">
        <f>AA2</f>
        <v>150</v>
      </c>
      <c r="AB145" s="36">
        <f>U145*2.1</f>
        <v>16.671428571428571</v>
      </c>
      <c r="AC145" s="36"/>
      <c r="AD145" s="36"/>
      <c r="AE145" s="36">
        <f>AE3</f>
        <v>40</v>
      </c>
      <c r="AF145" s="7">
        <f>AF3</f>
        <v>32</v>
      </c>
      <c r="AG145" s="36">
        <f>AG3*1.2</f>
        <v>516</v>
      </c>
      <c r="AH145" s="41">
        <f>V145+X145+Y145+Z145+AA145+AB145+AC145+AD145+AE145+AF145+AG145</f>
        <v>2113.3656926406929</v>
      </c>
      <c r="AI145" s="41">
        <f>AH145/1.05</f>
        <v>2012.7292310863741</v>
      </c>
      <c r="AJ145" s="42">
        <f>AI145-Y3</f>
        <v>1970.8720882292312</v>
      </c>
      <c r="AK145" s="42">
        <f>AH145*1.05</f>
        <v>2219.0339772727275</v>
      </c>
      <c r="AL145" s="14">
        <f>AH145*1.1</f>
        <v>2324.7022619047625</v>
      </c>
      <c r="AM145" s="14">
        <f>AH145*1.15</f>
        <v>2430.3705465367966</v>
      </c>
      <c r="AN145" s="14">
        <f>AH145*1.25</f>
        <v>2641.7071158008662</v>
      </c>
    </row>
    <row r="146" spans="1:40" x14ac:dyDescent="0.25">
      <c r="B146" s="2"/>
      <c r="C146" s="4"/>
      <c r="D146" s="5"/>
      <c r="E146" s="3"/>
      <c r="F146" s="3"/>
      <c r="G146" s="3"/>
      <c r="H146" s="5"/>
      <c r="I146" s="5"/>
      <c r="J146" s="1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5"/>
      <c r="Y146" s="35"/>
      <c r="Z146" s="35"/>
      <c r="AA146" s="3"/>
      <c r="AB146" s="35"/>
      <c r="AC146" s="35"/>
      <c r="AD146" s="35"/>
      <c r="AE146" s="35"/>
      <c r="AF146" s="3"/>
      <c r="AG146" s="35"/>
      <c r="AH146" s="42"/>
      <c r="AI146" s="42"/>
      <c r="AJ146" s="42"/>
      <c r="AK146" s="42"/>
      <c r="AL146" s="3"/>
      <c r="AM146" s="3"/>
      <c r="AN146" s="23"/>
    </row>
    <row r="147" spans="1:40" x14ac:dyDescent="0.25">
      <c r="B147" s="17" t="s">
        <v>418</v>
      </c>
      <c r="C147" s="18"/>
      <c r="D147" s="20"/>
      <c r="E147" s="19"/>
      <c r="F147" s="19"/>
      <c r="G147" s="19"/>
      <c r="H147" s="20"/>
      <c r="I147" s="20"/>
      <c r="J147" s="21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34"/>
      <c r="Y147" s="34"/>
      <c r="Z147" s="34"/>
      <c r="AA147" s="19"/>
      <c r="AB147" s="34"/>
      <c r="AC147" s="34"/>
      <c r="AD147" s="34"/>
      <c r="AE147" s="34"/>
      <c r="AF147" s="19"/>
      <c r="AG147" s="34"/>
      <c r="AH147" s="40"/>
      <c r="AI147" s="40"/>
      <c r="AJ147" s="40"/>
      <c r="AK147" s="40"/>
      <c r="AL147" s="19"/>
      <c r="AM147" s="19"/>
      <c r="AN147" s="22"/>
    </row>
    <row r="148" spans="1:40" ht="45" x14ac:dyDescent="0.25">
      <c r="A148" t="s">
        <v>177</v>
      </c>
      <c r="B148" s="6" t="s">
        <v>419</v>
      </c>
      <c r="C148" s="6" t="s">
        <v>420</v>
      </c>
      <c r="D148" s="59"/>
      <c r="E148" s="7" t="s">
        <v>39</v>
      </c>
      <c r="F148" s="6" t="s">
        <v>264</v>
      </c>
      <c r="G148" s="6" t="s">
        <v>14</v>
      </c>
      <c r="H148" s="10" t="s">
        <v>417</v>
      </c>
      <c r="I148" s="46" t="s">
        <v>688</v>
      </c>
      <c r="J148" s="46" t="s">
        <v>416</v>
      </c>
      <c r="K148" s="7" t="s">
        <v>688</v>
      </c>
      <c r="L148" s="7" t="s">
        <v>415</v>
      </c>
      <c r="M148" s="7"/>
      <c r="N148" s="7">
        <v>21</v>
      </c>
      <c r="O148" s="7">
        <v>4</v>
      </c>
      <c r="P148" s="7">
        <v>0</v>
      </c>
      <c r="Q148" s="7">
        <f>(N148*O148)+P148</f>
        <v>84</v>
      </c>
      <c r="R148" s="74">
        <f>U4</f>
        <v>689.28571428571422</v>
      </c>
      <c r="S148" s="74">
        <f>R148/Q148</f>
        <v>8.2057823129251695</v>
      </c>
      <c r="T148" s="7">
        <v>4</v>
      </c>
      <c r="U148" s="75">
        <f>T148+S148</f>
        <v>12.205782312925169</v>
      </c>
      <c r="V148" s="7">
        <v>869</v>
      </c>
      <c r="W148" s="7"/>
      <c r="X148" s="36">
        <f>X3/6</f>
        <v>71.212121212121204</v>
      </c>
      <c r="Y148" s="36">
        <f>Y3</f>
        <v>41.857142857142854</v>
      </c>
      <c r="Z148" s="36">
        <f>Z3*1.5</f>
        <v>5.625</v>
      </c>
      <c r="AA148" s="7">
        <f>AA2*2</f>
        <v>300</v>
      </c>
      <c r="AB148" s="36">
        <f>U148*2.1</f>
        <v>25.632142857142856</v>
      </c>
      <c r="AC148" s="54"/>
      <c r="AD148" s="6"/>
      <c r="AE148" s="54">
        <f>AE3</f>
        <v>40</v>
      </c>
      <c r="AF148" s="7">
        <f>AF3</f>
        <v>32</v>
      </c>
      <c r="AG148" s="36">
        <f>AG3*2.21</f>
        <v>950.3</v>
      </c>
      <c r="AH148" s="41">
        <f>V148+X148+Y148+Z148+AA148+AB148+AC148+AD148+AE148+AF148+AG148</f>
        <v>2335.6264069264071</v>
      </c>
      <c r="AI148" s="41">
        <f>AH148/1.05</f>
        <v>2224.4061018346733</v>
      </c>
      <c r="AJ148" s="42">
        <f>AI148-Y3</f>
        <v>2182.5489589775307</v>
      </c>
      <c r="AK148" s="42">
        <f>AH148*1.05</f>
        <v>2452.4077272727277</v>
      </c>
      <c r="AL148" s="14">
        <f>AH148*1.1</f>
        <v>2569.1890476190479</v>
      </c>
      <c r="AM148" s="14">
        <f>AH148*1.15</f>
        <v>2685.970367965368</v>
      </c>
      <c r="AN148" s="14">
        <f>AH148*1.25</f>
        <v>2919.5330086580088</v>
      </c>
    </row>
    <row r="149" spans="1:40" ht="30" x14ac:dyDescent="0.25">
      <c r="A149" t="s">
        <v>177</v>
      </c>
      <c r="B149" s="6" t="s">
        <v>421</v>
      </c>
      <c r="C149" s="6" t="s">
        <v>422</v>
      </c>
      <c r="D149" s="59"/>
      <c r="E149" s="7" t="s">
        <v>39</v>
      </c>
      <c r="F149" s="6" t="s">
        <v>264</v>
      </c>
      <c r="G149" s="6" t="s">
        <v>10</v>
      </c>
      <c r="H149" s="10" t="s">
        <v>425</v>
      </c>
      <c r="I149" s="46" t="s">
        <v>719</v>
      </c>
      <c r="J149" s="46" t="s">
        <v>423</v>
      </c>
      <c r="K149" s="7" t="s">
        <v>718</v>
      </c>
      <c r="L149" s="7" t="s">
        <v>424</v>
      </c>
      <c r="M149" s="7"/>
      <c r="N149" s="7">
        <v>35</v>
      </c>
      <c r="O149" s="7">
        <v>4</v>
      </c>
      <c r="P149" s="7">
        <v>0</v>
      </c>
      <c r="Q149" s="7">
        <f>(N149*O149)+P149</f>
        <v>140</v>
      </c>
      <c r="R149" s="74">
        <f>U4</f>
        <v>689.28571428571422</v>
      </c>
      <c r="S149" s="74">
        <f>R149/Q149</f>
        <v>4.9234693877551017</v>
      </c>
      <c r="T149" s="7">
        <v>4</v>
      </c>
      <c r="U149" s="75">
        <f>T149+S149</f>
        <v>8.9234693877551017</v>
      </c>
      <c r="V149" s="7">
        <v>869</v>
      </c>
      <c r="W149" s="7"/>
      <c r="X149" s="36">
        <f>X3/6</f>
        <v>71.212121212121204</v>
      </c>
      <c r="Y149" s="36">
        <f>Y3</f>
        <v>41.857142857142854</v>
      </c>
      <c r="Z149" s="36">
        <f>Z3*1.5</f>
        <v>5.625</v>
      </c>
      <c r="AA149" s="7">
        <f>AA2</f>
        <v>150</v>
      </c>
      <c r="AB149" s="36">
        <f>U149*2.1</f>
        <v>18.739285714285714</v>
      </c>
      <c r="AC149" s="54"/>
      <c r="AD149" s="6"/>
      <c r="AE149" s="54">
        <f>AE3</f>
        <v>40</v>
      </c>
      <c r="AF149" s="7">
        <f>AF3</f>
        <v>32</v>
      </c>
      <c r="AG149" s="36">
        <f>AG3*2.2275</f>
        <v>957.82500000000005</v>
      </c>
      <c r="AH149" s="41">
        <f>V149+X149+Y149+Z149+AA149+AB149+AC149+AD149+AE149+AF149+AG149</f>
        <v>2186.2585497835498</v>
      </c>
      <c r="AI149" s="41">
        <f>AH149/1.05</f>
        <v>2082.150999793857</v>
      </c>
      <c r="AJ149" s="42">
        <f>AI149-Y3</f>
        <v>2040.2938569367141</v>
      </c>
      <c r="AK149" s="42">
        <f>AH149*1.05</f>
        <v>2295.5714772727274</v>
      </c>
      <c r="AL149" s="14">
        <f>AH149*1.1</f>
        <v>2404.884404761905</v>
      </c>
      <c r="AM149" s="14">
        <f>AH149*1.15</f>
        <v>2514.1973322510821</v>
      </c>
      <c r="AN149" s="14">
        <f>AH149*1.25</f>
        <v>2732.8231872294373</v>
      </c>
    </row>
    <row r="150" spans="1:40" x14ac:dyDescent="0.25">
      <c r="A150" t="s">
        <v>177</v>
      </c>
      <c r="B150" s="6" t="s">
        <v>474</v>
      </c>
      <c r="C150" s="6" t="s">
        <v>471</v>
      </c>
      <c r="D150" s="59"/>
      <c r="E150" s="7" t="s">
        <v>462</v>
      </c>
      <c r="F150" s="6" t="s">
        <v>160</v>
      </c>
      <c r="G150" s="6" t="s">
        <v>10</v>
      </c>
      <c r="H150" s="10">
        <v>9713307010</v>
      </c>
      <c r="I150" s="46" t="s">
        <v>716</v>
      </c>
      <c r="J150" s="46" t="s">
        <v>476</v>
      </c>
      <c r="K150" s="7" t="s">
        <v>715</v>
      </c>
      <c r="L150" s="7" t="s">
        <v>477</v>
      </c>
      <c r="M150" s="7"/>
      <c r="N150" s="7">
        <v>35</v>
      </c>
      <c r="O150" s="7">
        <v>5</v>
      </c>
      <c r="P150" s="7">
        <v>0</v>
      </c>
      <c r="Q150" s="7">
        <f>(N150*O150)+P150</f>
        <v>175</v>
      </c>
      <c r="R150" s="74">
        <f>U4</f>
        <v>689.28571428571422</v>
      </c>
      <c r="S150" s="74">
        <f>R150/Q150</f>
        <v>3.9387755102040813</v>
      </c>
      <c r="T150" s="7">
        <v>4</v>
      </c>
      <c r="U150" s="75">
        <f>T150+S150</f>
        <v>7.9387755102040813</v>
      </c>
      <c r="V150" s="7">
        <v>836</v>
      </c>
      <c r="W150" s="7"/>
      <c r="X150" s="36">
        <f>X3/6</f>
        <v>71.212121212121204</v>
      </c>
      <c r="Y150" s="36">
        <f>Y3</f>
        <v>41.857142857142854</v>
      </c>
      <c r="Z150" s="36">
        <f>Z3*1.5</f>
        <v>5.625</v>
      </c>
      <c r="AA150" s="7">
        <f>AA2</f>
        <v>150</v>
      </c>
      <c r="AB150" s="36">
        <f>U150*2.1</f>
        <v>16.671428571428571</v>
      </c>
      <c r="AC150" s="54"/>
      <c r="AD150" s="6"/>
      <c r="AE150" s="54">
        <f>AE3</f>
        <v>40</v>
      </c>
      <c r="AF150" s="7">
        <f>AF3</f>
        <v>32</v>
      </c>
      <c r="AG150" s="36">
        <f>AG3*1.25</f>
        <v>537.5</v>
      </c>
      <c r="AH150" s="41">
        <f>V150+X150+Y150+Z150+AA150+AB150+AC150+AD150+AE150+AF150+AG150</f>
        <v>1730.8656926406927</v>
      </c>
      <c r="AI150" s="41">
        <f>AH150/1.05</f>
        <v>1648.4435168006596</v>
      </c>
      <c r="AJ150" s="42">
        <f>AI150-Y3</f>
        <v>1606.5863739435167</v>
      </c>
      <c r="AK150" s="42">
        <f>AH150*1.05</f>
        <v>1817.4089772727275</v>
      </c>
      <c r="AL150" s="14">
        <f>AH150*1.1</f>
        <v>1903.9522619047621</v>
      </c>
      <c r="AM150" s="14">
        <f>AH150*1.15</f>
        <v>1990.4955465367964</v>
      </c>
      <c r="AN150" s="14">
        <f>AH150*1.25</f>
        <v>2163.5821158008657</v>
      </c>
    </row>
    <row r="151" spans="1:40" x14ac:dyDescent="0.25">
      <c r="B151" s="2"/>
      <c r="C151" s="4"/>
      <c r="D151" s="5"/>
      <c r="E151" s="3"/>
      <c r="F151" s="3"/>
      <c r="G151" s="3"/>
      <c r="H151" s="5"/>
      <c r="I151" s="5"/>
      <c r="J151" s="1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5"/>
      <c r="Y151" s="35"/>
      <c r="Z151" s="35"/>
      <c r="AA151" s="3"/>
      <c r="AB151" s="35"/>
      <c r="AC151" s="35"/>
      <c r="AD151" s="35"/>
      <c r="AE151" s="35"/>
      <c r="AF151" s="3"/>
      <c r="AG151" s="35"/>
      <c r="AH151" s="42"/>
      <c r="AI151" s="42"/>
      <c r="AJ151" s="42"/>
      <c r="AK151" s="42"/>
      <c r="AL151" s="3"/>
      <c r="AM151" s="3"/>
      <c r="AN151" s="23"/>
    </row>
    <row r="152" spans="1:40" x14ac:dyDescent="0.25">
      <c r="B152" s="24" t="s">
        <v>253</v>
      </c>
      <c r="C152" s="18"/>
      <c r="D152" s="20"/>
      <c r="E152" s="19"/>
      <c r="F152" s="19"/>
      <c r="G152" s="19"/>
      <c r="H152" s="20"/>
      <c r="I152" s="20"/>
      <c r="J152" s="21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34"/>
      <c r="Y152" s="34"/>
      <c r="Z152" s="34"/>
      <c r="AA152" s="19"/>
      <c r="AB152" s="34"/>
      <c r="AC152" s="34"/>
      <c r="AD152" s="34"/>
      <c r="AE152" s="34"/>
      <c r="AF152" s="19"/>
      <c r="AG152" s="34"/>
      <c r="AH152" s="40"/>
      <c r="AI152" s="40"/>
      <c r="AJ152" s="40"/>
      <c r="AK152" s="40"/>
      <c r="AL152" s="19"/>
      <c r="AM152" s="19"/>
      <c r="AN152" s="19"/>
    </row>
    <row r="153" spans="1:40" x14ac:dyDescent="0.25">
      <c r="B153" s="6" t="s">
        <v>368</v>
      </c>
      <c r="C153" s="8" t="s">
        <v>254</v>
      </c>
      <c r="D153" s="10"/>
      <c r="E153" s="7" t="s">
        <v>530</v>
      </c>
      <c r="F153" s="7" t="s">
        <v>53</v>
      </c>
      <c r="G153" s="7" t="s">
        <v>255</v>
      </c>
      <c r="H153" s="10"/>
      <c r="I153" s="10" t="s">
        <v>663</v>
      </c>
      <c r="J153" s="46" t="s">
        <v>725</v>
      </c>
      <c r="K153" s="7" t="s">
        <v>688</v>
      </c>
      <c r="L153" s="7" t="s">
        <v>688</v>
      </c>
      <c r="M153" s="7"/>
      <c r="N153" s="7">
        <v>35</v>
      </c>
      <c r="O153" s="7">
        <v>4</v>
      </c>
      <c r="P153" s="7">
        <v>0</v>
      </c>
      <c r="Q153" s="7">
        <f>(N153*O153)+P153</f>
        <v>140</v>
      </c>
      <c r="R153" s="74">
        <f>U4</f>
        <v>689.28571428571422</v>
      </c>
      <c r="S153" s="74">
        <f>R153/Q153</f>
        <v>4.9234693877551017</v>
      </c>
      <c r="T153" s="7">
        <v>4</v>
      </c>
      <c r="U153" s="75">
        <f>T153+S153</f>
        <v>8.9234693877551017</v>
      </c>
      <c r="V153" s="7">
        <v>902</v>
      </c>
      <c r="W153" s="7"/>
      <c r="X153" s="36">
        <f>X3/6</f>
        <v>71.212121212121204</v>
      </c>
      <c r="Y153" s="36">
        <f>Y3</f>
        <v>41.857142857142854</v>
      </c>
      <c r="Z153" s="36">
        <f>Z3*1.5</f>
        <v>5.625</v>
      </c>
      <c r="AA153" s="7">
        <f>AA2*2</f>
        <v>300</v>
      </c>
      <c r="AB153" s="36">
        <f>U153*4.1</f>
        <v>36.586224489795917</v>
      </c>
      <c r="AC153" s="36"/>
      <c r="AD153" s="36">
        <f>AD2/6</f>
        <v>166.66666666666666</v>
      </c>
      <c r="AE153" s="36">
        <f>AE3</f>
        <v>40</v>
      </c>
      <c r="AF153" s="7">
        <f>AF3</f>
        <v>32</v>
      </c>
      <c r="AG153" s="36">
        <f>AG3</f>
        <v>430</v>
      </c>
      <c r="AH153" s="41">
        <f>V153+X153+Y153+Z153+AA153+AB153+AC153+AD153+AE153+AF153+AG153</f>
        <v>2025.9471552257269</v>
      </c>
      <c r="AI153" s="41">
        <f>AH153/1.05</f>
        <v>1929.4734811673588</v>
      </c>
      <c r="AJ153" s="42">
        <f>AI153-Y3</f>
        <v>1887.616338310216</v>
      </c>
      <c r="AK153" s="42">
        <f>AH153*1.05</f>
        <v>2127.2445129870134</v>
      </c>
      <c r="AL153" s="14">
        <f>AH153*1.1</f>
        <v>2228.5418707482995</v>
      </c>
      <c r="AM153" s="14">
        <f>AH153*1.15</f>
        <v>2329.8392285095856</v>
      </c>
      <c r="AN153" s="14">
        <f>AH153*1.25</f>
        <v>2532.4339440321587</v>
      </c>
    </row>
    <row r="154" spans="1:40" x14ac:dyDescent="0.25">
      <c r="A154" t="s">
        <v>177</v>
      </c>
      <c r="B154" s="6" t="s">
        <v>383</v>
      </c>
      <c r="C154" s="8" t="s">
        <v>380</v>
      </c>
      <c r="D154" s="10"/>
      <c r="E154" s="7" t="s">
        <v>160</v>
      </c>
      <c r="F154" s="7" t="s">
        <v>378</v>
      </c>
      <c r="G154" s="7" t="s">
        <v>379</v>
      </c>
      <c r="H154" s="10" t="s">
        <v>381</v>
      </c>
      <c r="I154" s="10" t="s">
        <v>726</v>
      </c>
      <c r="J154" s="46" t="s">
        <v>382</v>
      </c>
      <c r="K154" s="7" t="s">
        <v>688</v>
      </c>
      <c r="L154" s="7" t="s">
        <v>688</v>
      </c>
      <c r="M154" s="7"/>
      <c r="N154" s="7">
        <v>35</v>
      </c>
      <c r="O154" s="7">
        <v>5</v>
      </c>
      <c r="P154" s="7">
        <v>0</v>
      </c>
      <c r="Q154" s="7">
        <f>(N154*O154)+P154</f>
        <v>175</v>
      </c>
      <c r="R154" s="74">
        <f>U4</f>
        <v>689.28571428571422</v>
      </c>
      <c r="S154" s="74">
        <f>R154/Q154</f>
        <v>3.9387755102040813</v>
      </c>
      <c r="T154" s="7">
        <v>4</v>
      </c>
      <c r="U154" s="75">
        <f>T154+S154</f>
        <v>7.9387755102040813</v>
      </c>
      <c r="V154" s="7">
        <v>900</v>
      </c>
      <c r="W154" s="7"/>
      <c r="X154" s="36">
        <f>X3/6</f>
        <v>71.212121212121204</v>
      </c>
      <c r="Y154" s="36">
        <f>Y3</f>
        <v>41.857142857142854</v>
      </c>
      <c r="Z154" s="36">
        <f>Z3*1.5</f>
        <v>5.625</v>
      </c>
      <c r="AA154" s="7">
        <f>AA2</f>
        <v>150</v>
      </c>
      <c r="AB154" s="36">
        <f>U154*2.1</f>
        <v>16.671428571428571</v>
      </c>
      <c r="AC154" s="36"/>
      <c r="AD154" s="36"/>
      <c r="AE154" s="36">
        <f>AE3</f>
        <v>40</v>
      </c>
      <c r="AF154" s="7">
        <f>AF3</f>
        <v>32</v>
      </c>
      <c r="AG154" s="36">
        <f>AG3</f>
        <v>430</v>
      </c>
      <c r="AH154" s="41">
        <f>V154+X154+Y154+Z154+AA154+AB154+AC154+AD154+AE154+AF154+AG154</f>
        <v>1687.3656926406927</v>
      </c>
      <c r="AI154" s="41">
        <f>AH154/1.05</f>
        <v>1607.0149453720883</v>
      </c>
      <c r="AJ154" s="42">
        <f>AI154-Y3</f>
        <v>1565.1578025149454</v>
      </c>
      <c r="AK154" s="42">
        <f>AH154*1.05</f>
        <v>1771.7339772727273</v>
      </c>
      <c r="AL154" s="14">
        <f>AH154*1.1</f>
        <v>1856.1022619047621</v>
      </c>
      <c r="AM154" s="14">
        <f>AH154*1.15</f>
        <v>1940.4705465367965</v>
      </c>
      <c r="AN154" s="14">
        <f>AH154*1.25</f>
        <v>2109.2071158008657</v>
      </c>
    </row>
    <row r="155" spans="1:40" x14ac:dyDescent="0.25">
      <c r="B155" s="6" t="s">
        <v>497</v>
      </c>
      <c r="C155" s="8" t="s">
        <v>492</v>
      </c>
      <c r="D155" s="10"/>
      <c r="E155" s="7" t="s">
        <v>496</v>
      </c>
      <c r="F155" s="7" t="s">
        <v>495</v>
      </c>
      <c r="G155" s="7" t="s">
        <v>64</v>
      </c>
      <c r="H155" s="10" t="s">
        <v>494</v>
      </c>
      <c r="I155" s="10" t="s">
        <v>688</v>
      </c>
      <c r="J155" s="46" t="s">
        <v>493</v>
      </c>
      <c r="K155" s="7" t="s">
        <v>688</v>
      </c>
      <c r="L155" s="7" t="s">
        <v>688</v>
      </c>
      <c r="M155" s="7"/>
      <c r="N155" s="7">
        <v>18</v>
      </c>
      <c r="O155" s="7">
        <v>4</v>
      </c>
      <c r="P155" s="7">
        <v>0</v>
      </c>
      <c r="Q155" s="7">
        <f>(N155*O155)+P155</f>
        <v>72</v>
      </c>
      <c r="R155" s="74">
        <f>U4</f>
        <v>689.28571428571422</v>
      </c>
      <c r="S155" s="74">
        <f>R155/Q155</f>
        <v>9.5734126984126977</v>
      </c>
      <c r="T155" s="7">
        <v>4</v>
      </c>
      <c r="U155" s="75">
        <f>T155+S155</f>
        <v>13.573412698412698</v>
      </c>
      <c r="V155" s="7">
        <v>1079</v>
      </c>
      <c r="W155" s="7"/>
      <c r="X155" s="36">
        <f>X3/6</f>
        <v>71.212121212121204</v>
      </c>
      <c r="Y155" s="36">
        <f>Y3</f>
        <v>41.857142857142854</v>
      </c>
      <c r="Z155" s="36">
        <f>Z3*1.5</f>
        <v>5.625</v>
      </c>
      <c r="AA155" s="7">
        <f>AA2</f>
        <v>150</v>
      </c>
      <c r="AB155" s="36">
        <f>U155*2.1</f>
        <v>28.504166666666666</v>
      </c>
      <c r="AC155" s="36"/>
      <c r="AD155" s="36"/>
      <c r="AE155" s="36">
        <f>AE3</f>
        <v>40</v>
      </c>
      <c r="AF155" s="7">
        <f>AF3</f>
        <v>32</v>
      </c>
      <c r="AG155" s="36">
        <f>AG3*1.34</f>
        <v>576.20000000000005</v>
      </c>
      <c r="AH155" s="41">
        <f>V155+X155+Y155+Z155+AA155+AB155+AC155+AD155+AE155+AF155+AG155</f>
        <v>2024.3984307359308</v>
      </c>
      <c r="AI155" s="41">
        <f>AH155/1.05</f>
        <v>1927.9985054627912</v>
      </c>
      <c r="AJ155" s="42">
        <f>AI155-Y3</f>
        <v>1886.1413626056483</v>
      </c>
      <c r="AK155" s="42">
        <f>AH155*1.05</f>
        <v>2125.6183522727274</v>
      </c>
      <c r="AL155" s="14">
        <f>AH155*1.1</f>
        <v>2226.8382738095243</v>
      </c>
      <c r="AM155" s="14">
        <f>AH155*1.15</f>
        <v>2328.0581953463202</v>
      </c>
      <c r="AN155" s="14">
        <f>AH155*1.25</f>
        <v>2530.4980384199134</v>
      </c>
    </row>
    <row r="156" spans="1:40" x14ac:dyDescent="0.25">
      <c r="B156" s="2"/>
      <c r="C156" s="4"/>
      <c r="D156" s="5"/>
      <c r="E156" s="3"/>
      <c r="F156" s="3"/>
      <c r="G156" s="3"/>
      <c r="H156" s="5"/>
      <c r="I156" s="5"/>
      <c r="J156" s="1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5"/>
      <c r="Y156" s="35"/>
      <c r="Z156" s="35"/>
      <c r="AA156" s="3"/>
      <c r="AB156" s="35"/>
      <c r="AC156" s="35"/>
      <c r="AD156" s="35"/>
      <c r="AE156" s="35"/>
      <c r="AF156" s="3"/>
      <c r="AG156" s="35"/>
      <c r="AH156" s="42"/>
      <c r="AI156" s="42"/>
      <c r="AJ156" s="42"/>
      <c r="AK156" s="42"/>
      <c r="AL156" s="3"/>
      <c r="AM156" s="3"/>
      <c r="AN156" s="23"/>
    </row>
    <row r="157" spans="1:40" x14ac:dyDescent="0.25">
      <c r="B157" s="24" t="s">
        <v>176</v>
      </c>
      <c r="C157" s="18"/>
      <c r="D157" s="20"/>
      <c r="E157" s="19"/>
      <c r="F157" s="19"/>
      <c r="G157" s="19"/>
      <c r="H157" s="20"/>
      <c r="I157" s="20"/>
      <c r="J157" s="21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34"/>
      <c r="Y157" s="34"/>
      <c r="Z157" s="34"/>
      <c r="AA157" s="19"/>
      <c r="AB157" s="34"/>
      <c r="AC157" s="34"/>
      <c r="AD157" s="34"/>
      <c r="AE157" s="34"/>
      <c r="AF157" s="19"/>
      <c r="AG157" s="34"/>
      <c r="AH157" s="40"/>
      <c r="AI157" s="40"/>
      <c r="AJ157" s="40"/>
      <c r="AK157" s="40"/>
      <c r="AL157" s="19"/>
      <c r="AM157" s="19"/>
      <c r="AN157" s="19"/>
    </row>
    <row r="158" spans="1:40" x14ac:dyDescent="0.25">
      <c r="A158" t="s">
        <v>177</v>
      </c>
      <c r="B158" s="60" t="s">
        <v>546</v>
      </c>
      <c r="C158" s="8" t="s">
        <v>483</v>
      </c>
      <c r="D158" s="10"/>
      <c r="E158" s="7" t="s">
        <v>484</v>
      </c>
      <c r="F158" s="7" t="s">
        <v>182</v>
      </c>
      <c r="G158" s="7" t="s">
        <v>46</v>
      </c>
      <c r="H158" s="10" t="s">
        <v>486</v>
      </c>
      <c r="I158" s="46" t="s">
        <v>724</v>
      </c>
      <c r="J158" s="46" t="s">
        <v>485</v>
      </c>
      <c r="K158" s="7" t="s">
        <v>688</v>
      </c>
      <c r="L158" s="7" t="s">
        <v>688</v>
      </c>
      <c r="M158" s="7"/>
      <c r="N158" s="7">
        <v>35</v>
      </c>
      <c r="O158" s="7">
        <v>4</v>
      </c>
      <c r="P158" s="7">
        <v>0</v>
      </c>
      <c r="Q158" s="7">
        <f>(N158*O158)+P158</f>
        <v>140</v>
      </c>
      <c r="R158" s="74">
        <f>U4</f>
        <v>689.28571428571422</v>
      </c>
      <c r="S158" s="74">
        <f>R158/Q158</f>
        <v>4.9234693877551017</v>
      </c>
      <c r="T158" s="7">
        <v>4</v>
      </c>
      <c r="U158" s="75">
        <f>T158+S158</f>
        <v>8.9234693877551017</v>
      </c>
      <c r="V158" s="7">
        <v>1550</v>
      </c>
      <c r="W158" s="7"/>
      <c r="X158" s="36">
        <f>X3/6</f>
        <v>71.212121212121204</v>
      </c>
      <c r="Y158" s="36">
        <f>Y3</f>
        <v>41.857142857142854</v>
      </c>
      <c r="Z158" s="36">
        <f>Z3*1.5</f>
        <v>5.625</v>
      </c>
      <c r="AA158" s="7">
        <f>AA2*2</f>
        <v>300</v>
      </c>
      <c r="AB158" s="36">
        <f>U158*4.1</f>
        <v>36.586224489795917</v>
      </c>
      <c r="AC158" s="36"/>
      <c r="AD158" s="36">
        <f>AD2/5</f>
        <v>200</v>
      </c>
      <c r="AE158" s="36">
        <f>AE3</f>
        <v>40</v>
      </c>
      <c r="AF158" s="7">
        <f>AF3</f>
        <v>32</v>
      </c>
      <c r="AG158" s="36">
        <f>AG3*1.25</f>
        <v>537.5</v>
      </c>
      <c r="AH158" s="41">
        <f>V158+X158+Y158+Z158+AA158+AB158+AC158+AD158+AE158+AF158+AG158</f>
        <v>2814.7804885590604</v>
      </c>
      <c r="AI158" s="41">
        <f>AH158/1.05</f>
        <v>2680.7433224372003</v>
      </c>
      <c r="AJ158" s="42">
        <f>AI158-Y3</f>
        <v>2638.8861795800576</v>
      </c>
      <c r="AK158" s="42">
        <f>AH158*1.05</f>
        <v>2955.5195129870135</v>
      </c>
      <c r="AL158" s="14">
        <f>AH158*1.1</f>
        <v>3096.2585374149667</v>
      </c>
      <c r="AM158" s="14">
        <f>AH158*1.15</f>
        <v>3236.9975618429194</v>
      </c>
      <c r="AN158" s="14">
        <f>AH158*1.25</f>
        <v>3518.4756106988252</v>
      </c>
    </row>
    <row r="159" spans="1:40" ht="45" x14ac:dyDescent="0.25">
      <c r="A159" t="s">
        <v>177</v>
      </c>
      <c r="B159" s="6" t="s">
        <v>432</v>
      </c>
      <c r="C159" s="8" t="s">
        <v>431</v>
      </c>
      <c r="D159" s="10">
        <v>100</v>
      </c>
      <c r="E159" s="7" t="s">
        <v>249</v>
      </c>
      <c r="F159" s="7" t="s">
        <v>264</v>
      </c>
      <c r="G159" s="7" t="s">
        <v>10</v>
      </c>
      <c r="H159" s="10" t="s">
        <v>433</v>
      </c>
      <c r="I159" s="46" t="s">
        <v>723</v>
      </c>
      <c r="J159" s="46" t="s">
        <v>434</v>
      </c>
      <c r="K159" s="7" t="s">
        <v>435</v>
      </c>
      <c r="L159" s="7" t="s">
        <v>688</v>
      </c>
      <c r="M159" s="7"/>
      <c r="N159" s="7">
        <v>35</v>
      </c>
      <c r="O159" s="7">
        <v>4</v>
      </c>
      <c r="P159" s="7">
        <v>0</v>
      </c>
      <c r="Q159" s="7">
        <f>(N159*O159)+P159</f>
        <v>140</v>
      </c>
      <c r="R159" s="74">
        <f>U4</f>
        <v>689.28571428571422</v>
      </c>
      <c r="S159" s="74">
        <f>R159/Q159</f>
        <v>4.9234693877551017</v>
      </c>
      <c r="T159" s="7">
        <v>4</v>
      </c>
      <c r="U159" s="75">
        <f>T159+S159</f>
        <v>8.9234693877551017</v>
      </c>
      <c r="V159" s="7">
        <v>891</v>
      </c>
      <c r="W159" s="7"/>
      <c r="X159" s="36">
        <f>X3/6</f>
        <v>71.212121212121204</v>
      </c>
      <c r="Y159" s="36">
        <f>Y3</f>
        <v>41.857142857142854</v>
      </c>
      <c r="Z159" s="36">
        <f>Z3*1.5</f>
        <v>5.625</v>
      </c>
      <c r="AA159" s="7">
        <f>AA2</f>
        <v>150</v>
      </c>
      <c r="AB159" s="36">
        <f>U159*2.1</f>
        <v>18.739285714285714</v>
      </c>
      <c r="AC159" s="36"/>
      <c r="AD159" s="36"/>
      <c r="AE159" s="36">
        <f>AE3</f>
        <v>40</v>
      </c>
      <c r="AF159" s="7">
        <f>AF3</f>
        <v>32</v>
      </c>
      <c r="AG159" s="36">
        <f>AG3*1.925</f>
        <v>827.75</v>
      </c>
      <c r="AH159" s="41">
        <f>V159+X159+Y159+Z159+AA159+AB159+AC159+AD159+AE159+AF159+AG159</f>
        <v>2078.18354978355</v>
      </c>
      <c r="AI159" s="41">
        <f>AH159/1.05</f>
        <v>1979.2224283652856</v>
      </c>
      <c r="AJ159" s="42">
        <f>AI159-Y3</f>
        <v>1937.3652855081427</v>
      </c>
      <c r="AK159" s="42">
        <f>AH159*1.05</f>
        <v>2182.0927272727276</v>
      </c>
      <c r="AL159" s="14">
        <f>AH159*1.1</f>
        <v>2286.0019047619053</v>
      </c>
      <c r="AM159" s="14">
        <f>AH159*1.15</f>
        <v>2389.9110822510825</v>
      </c>
      <c r="AN159" s="14">
        <f>AH159*1.25</f>
        <v>2597.7294372294373</v>
      </c>
    </row>
    <row r="160" spans="1:40" x14ac:dyDescent="0.25">
      <c r="B160" s="8" t="s">
        <v>369</v>
      </c>
      <c r="C160" s="8" t="s">
        <v>204</v>
      </c>
      <c r="D160" s="10"/>
      <c r="E160" s="7" t="s">
        <v>21</v>
      </c>
      <c r="F160" s="7" t="s">
        <v>31</v>
      </c>
      <c r="G160" s="7" t="s">
        <v>64</v>
      </c>
      <c r="H160" s="10"/>
      <c r="I160" s="46" t="s">
        <v>652</v>
      </c>
      <c r="J160" s="46" t="s">
        <v>658</v>
      </c>
      <c r="K160" s="7" t="s">
        <v>128</v>
      </c>
      <c r="L160" s="7" t="s">
        <v>134</v>
      </c>
      <c r="M160" s="7"/>
      <c r="N160" s="7">
        <v>18</v>
      </c>
      <c r="O160" s="7">
        <v>4</v>
      </c>
      <c r="P160" s="7">
        <v>0</v>
      </c>
      <c r="Q160" s="7">
        <f>(N160*O160)+P160</f>
        <v>72</v>
      </c>
      <c r="R160" s="74">
        <f>U4</f>
        <v>689.28571428571422</v>
      </c>
      <c r="S160" s="74">
        <f>R160/Q160</f>
        <v>9.5734126984126977</v>
      </c>
      <c r="T160" s="7">
        <v>4</v>
      </c>
      <c r="U160" s="75">
        <f>T160+S160</f>
        <v>13.573412698412698</v>
      </c>
      <c r="V160" s="7">
        <v>980</v>
      </c>
      <c r="W160" s="7"/>
      <c r="X160" s="36">
        <f>X3/6</f>
        <v>71.212121212121204</v>
      </c>
      <c r="Y160" s="36">
        <f>Y3</f>
        <v>41.857142857142854</v>
      </c>
      <c r="Z160" s="36">
        <f>Z3*1.5</f>
        <v>5.625</v>
      </c>
      <c r="AA160" s="7">
        <f>AA2</f>
        <v>150</v>
      </c>
      <c r="AB160" s="36">
        <f>U160*2.1</f>
        <v>28.504166666666666</v>
      </c>
      <c r="AC160" s="36"/>
      <c r="AD160" s="36"/>
      <c r="AE160" s="36">
        <f>AE3</f>
        <v>40</v>
      </c>
      <c r="AF160" s="7">
        <f>AF3</f>
        <v>32</v>
      </c>
      <c r="AG160" s="36">
        <f>AG3</f>
        <v>430</v>
      </c>
      <c r="AH160" s="41">
        <f>V160+X160+Y160+Z160+AA160+AB160+AC160+AD160+AE160+AF160+AG160</f>
        <v>1779.1984307359307</v>
      </c>
      <c r="AI160" s="41">
        <f>AH160/1.05</f>
        <v>1694.4746959389815</v>
      </c>
      <c r="AJ160" s="42">
        <f>AI160-Y3</f>
        <v>1652.6175530818387</v>
      </c>
      <c r="AK160" s="42">
        <f>AH160*1.05</f>
        <v>1868.1583522727274</v>
      </c>
      <c r="AL160" s="14">
        <f>AH160*1.1</f>
        <v>1957.118273809524</v>
      </c>
      <c r="AM160" s="14">
        <f>AH160*1.15</f>
        <v>2046.0781953463202</v>
      </c>
      <c r="AN160" s="14">
        <f>AH160*1.25</f>
        <v>2223.9980384199134</v>
      </c>
    </row>
    <row r="161" spans="1:40" ht="30" x14ac:dyDescent="0.25">
      <c r="A161" t="s">
        <v>177</v>
      </c>
      <c r="B161" s="6" t="s">
        <v>437</v>
      </c>
      <c r="C161" s="8" t="s">
        <v>444</v>
      </c>
      <c r="D161" s="10"/>
      <c r="E161" s="7" t="s">
        <v>21</v>
      </c>
      <c r="F161" s="7" t="s">
        <v>31</v>
      </c>
      <c r="G161" s="7" t="s">
        <v>14</v>
      </c>
      <c r="H161" s="10" t="s">
        <v>438</v>
      </c>
      <c r="I161" s="46" t="s">
        <v>622</v>
      </c>
      <c r="J161" s="46" t="s">
        <v>439</v>
      </c>
      <c r="K161" s="7" t="s">
        <v>441</v>
      </c>
      <c r="L161" s="7" t="s">
        <v>440</v>
      </c>
      <c r="M161" s="7"/>
      <c r="N161" s="7">
        <v>21</v>
      </c>
      <c r="O161" s="7">
        <v>4</v>
      </c>
      <c r="P161" s="7">
        <v>6</v>
      </c>
      <c r="Q161" s="7">
        <f>(N161*O161)+P161</f>
        <v>90</v>
      </c>
      <c r="R161" s="74">
        <f>U4</f>
        <v>689.28571428571422</v>
      </c>
      <c r="S161" s="74">
        <f>R161/Q161</f>
        <v>7.6587301587301582</v>
      </c>
      <c r="T161" s="7">
        <v>4</v>
      </c>
      <c r="U161" s="75">
        <f>T161+S161</f>
        <v>11.658730158730158</v>
      </c>
      <c r="V161" s="7">
        <v>980</v>
      </c>
      <c r="W161" s="7"/>
      <c r="X161" s="36">
        <f>X3/6</f>
        <v>71.212121212121204</v>
      </c>
      <c r="Y161" s="36">
        <f>Y3</f>
        <v>41.857142857142854</v>
      </c>
      <c r="Z161" s="36">
        <f>Z3*1.5</f>
        <v>5.625</v>
      </c>
      <c r="AA161" s="7">
        <f>AA2</f>
        <v>150</v>
      </c>
      <c r="AB161" s="36">
        <f>U161*2.1</f>
        <v>24.483333333333334</v>
      </c>
      <c r="AC161" s="36"/>
      <c r="AD161" s="36"/>
      <c r="AE161" s="36">
        <f>AE3</f>
        <v>40</v>
      </c>
      <c r="AF161" s="7">
        <f>AF3</f>
        <v>32</v>
      </c>
      <c r="AG161" s="36">
        <f>AG3</f>
        <v>430</v>
      </c>
      <c r="AH161" s="41">
        <f>V161+X161+Y161+Z161+AA161+AB161+AC161+AD161+AE161+AF161+AG161</f>
        <v>1775.1775974025975</v>
      </c>
      <c r="AI161" s="41">
        <f>AH161/1.05</f>
        <v>1690.6453308596165</v>
      </c>
      <c r="AJ161" s="42">
        <f>AI161-Y3</f>
        <v>1648.7881880024736</v>
      </c>
      <c r="AK161" s="42">
        <f>AH161*1.05</f>
        <v>1863.9364772727274</v>
      </c>
      <c r="AL161" s="14">
        <f>AH161*1.1</f>
        <v>1952.6953571428573</v>
      </c>
      <c r="AM161" s="14">
        <f>AH161*1.15</f>
        <v>2041.4542370129871</v>
      </c>
      <c r="AN161" s="14">
        <f>AH161*1.25</f>
        <v>2218.9719967532469</v>
      </c>
    </row>
    <row r="162" spans="1:40" x14ac:dyDescent="0.25">
      <c r="B162" s="2"/>
      <c r="C162" s="4"/>
      <c r="D162" s="5"/>
      <c r="E162" s="3"/>
      <c r="F162" s="3"/>
      <c r="G162" s="3"/>
      <c r="H162" s="5"/>
      <c r="I162" s="5"/>
      <c r="J162" s="1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5"/>
      <c r="Y162" s="35"/>
      <c r="Z162" s="35"/>
      <c r="AA162" s="3"/>
      <c r="AB162" s="35"/>
      <c r="AC162" s="35"/>
      <c r="AD162" s="35"/>
      <c r="AE162" s="35"/>
      <c r="AF162" s="3"/>
      <c r="AG162" s="35"/>
      <c r="AH162" s="42"/>
      <c r="AI162" s="42"/>
      <c r="AJ162" s="42"/>
      <c r="AK162" s="42"/>
      <c r="AL162" s="3"/>
      <c r="AM162" s="3"/>
      <c r="AN162" s="23"/>
    </row>
    <row r="163" spans="1:40" x14ac:dyDescent="0.25">
      <c r="B163" s="17" t="s">
        <v>835</v>
      </c>
      <c r="C163" s="18"/>
      <c r="D163" s="20"/>
      <c r="E163" s="19"/>
      <c r="F163" s="19"/>
      <c r="G163" s="19"/>
      <c r="H163" s="20"/>
      <c r="I163" s="20"/>
      <c r="J163" s="21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34"/>
      <c r="Y163" s="34"/>
      <c r="Z163" s="34"/>
      <c r="AA163" s="19"/>
      <c r="AB163" s="34"/>
      <c r="AC163" s="34"/>
      <c r="AD163" s="34"/>
      <c r="AE163" s="34"/>
      <c r="AF163" s="19"/>
      <c r="AG163" s="34"/>
      <c r="AH163" s="40"/>
      <c r="AI163" s="40"/>
      <c r="AJ163" s="40"/>
      <c r="AK163" s="40"/>
      <c r="AL163" s="19"/>
      <c r="AM163" s="19"/>
      <c r="AN163" s="22"/>
    </row>
    <row r="164" spans="1:40" x14ac:dyDescent="0.25">
      <c r="B164" s="6" t="s">
        <v>833</v>
      </c>
      <c r="C164" s="8" t="s">
        <v>832</v>
      </c>
      <c r="D164" s="10"/>
      <c r="E164" s="7" t="s">
        <v>480</v>
      </c>
      <c r="F164" s="7" t="s">
        <v>519</v>
      </c>
      <c r="G164" s="7" t="s">
        <v>46</v>
      </c>
      <c r="H164" s="10"/>
      <c r="I164" s="10"/>
      <c r="J164" s="46"/>
      <c r="K164" s="7"/>
      <c r="L164" s="7"/>
      <c r="M164" s="7"/>
      <c r="N164" s="7">
        <v>35</v>
      </c>
      <c r="O164" s="7">
        <v>2</v>
      </c>
      <c r="P164" s="7">
        <v>0</v>
      </c>
      <c r="Q164" s="7">
        <f>(N164*O164)+P164</f>
        <v>70</v>
      </c>
      <c r="R164" s="74">
        <f>U4</f>
        <v>689.28571428571422</v>
      </c>
      <c r="S164" s="74">
        <f>R164/Q164</f>
        <v>9.8469387755102034</v>
      </c>
      <c r="T164" s="7">
        <v>4</v>
      </c>
      <c r="U164" s="75">
        <f>T164+S164</f>
        <v>13.846938775510203</v>
      </c>
      <c r="V164" s="7">
        <v>800</v>
      </c>
      <c r="W164" s="7"/>
      <c r="X164" s="36">
        <f>X3/6</f>
        <v>71.212121212121204</v>
      </c>
      <c r="Y164" s="36">
        <f>Y3</f>
        <v>41.857142857142854</v>
      </c>
      <c r="Z164" s="36">
        <f>Z3*1.5</f>
        <v>5.625</v>
      </c>
      <c r="AA164" s="7">
        <f>AA2</f>
        <v>150</v>
      </c>
      <c r="AB164" s="36">
        <f>U164*2.1</f>
        <v>29.078571428571429</v>
      </c>
      <c r="AC164" s="36"/>
      <c r="AD164" s="36">
        <f>AD2/5</f>
        <v>200</v>
      </c>
      <c r="AE164" s="36">
        <f>AE3</f>
        <v>40</v>
      </c>
      <c r="AF164" s="7">
        <f>AF3</f>
        <v>32</v>
      </c>
      <c r="AG164" s="36">
        <f>AG3*2</f>
        <v>860</v>
      </c>
      <c r="AH164" s="41">
        <f>V164+X164+Y164+Z164+AA164+AB164+AC164+AD164+AE164+AF164+AG164</f>
        <v>2229.7728354978353</v>
      </c>
      <c r="AI164" s="41">
        <f>AH164/1.05</f>
        <v>2123.5931766646049</v>
      </c>
      <c r="AJ164" s="42">
        <f>AI164-Y3</f>
        <v>2081.7360338074623</v>
      </c>
      <c r="AK164" s="42">
        <f>AH164*1.05</f>
        <v>2341.261477272727</v>
      </c>
      <c r="AL164" s="14">
        <f>AH164*1.1</f>
        <v>2452.7501190476191</v>
      </c>
      <c r="AM164" s="14">
        <f>AH164*1.15</f>
        <v>2564.2387608225104</v>
      </c>
      <c r="AN164" s="14">
        <f>AH164*1.25</f>
        <v>2787.2160443722942</v>
      </c>
    </row>
    <row r="165" spans="1:40" x14ac:dyDescent="0.25">
      <c r="B165" s="2"/>
      <c r="C165" s="4"/>
      <c r="D165" s="5"/>
      <c r="E165" s="3"/>
      <c r="F165" s="3"/>
      <c r="G165" s="3"/>
      <c r="H165" s="5"/>
      <c r="I165" s="5"/>
      <c r="J165" s="1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5"/>
      <c r="Y165" s="35"/>
      <c r="Z165" s="35"/>
      <c r="AA165" s="3"/>
      <c r="AB165" s="35"/>
      <c r="AC165" s="35"/>
      <c r="AD165" s="35"/>
      <c r="AE165" s="35"/>
      <c r="AF165" s="3"/>
      <c r="AG165" s="35"/>
      <c r="AH165" s="42"/>
      <c r="AI165" s="42"/>
      <c r="AJ165" s="42"/>
      <c r="AK165" s="42"/>
      <c r="AL165" s="3"/>
      <c r="AM165" s="3"/>
      <c r="AN165" s="23"/>
    </row>
    <row r="166" spans="1:40" x14ac:dyDescent="0.25">
      <c r="B166" s="17" t="s">
        <v>554</v>
      </c>
      <c r="C166" s="18"/>
      <c r="D166" s="20"/>
      <c r="E166" s="19"/>
      <c r="F166" s="19"/>
      <c r="G166" s="19"/>
      <c r="H166" s="20"/>
      <c r="I166" s="20"/>
      <c r="J166" s="21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34"/>
      <c r="Y166" s="34"/>
      <c r="Z166" s="34"/>
      <c r="AA166" s="19"/>
      <c r="AB166" s="34"/>
      <c r="AC166" s="34"/>
      <c r="AD166" s="34"/>
      <c r="AE166" s="34"/>
      <c r="AF166" s="19"/>
      <c r="AG166" s="34"/>
      <c r="AH166" s="40"/>
      <c r="AI166" s="40"/>
      <c r="AJ166" s="40"/>
      <c r="AK166" s="40"/>
      <c r="AL166" s="19"/>
      <c r="AM166" s="19"/>
      <c r="AN166" s="22"/>
    </row>
    <row r="167" spans="1:40" x14ac:dyDescent="0.25">
      <c r="B167" s="6" t="s">
        <v>555</v>
      </c>
      <c r="C167" s="8" t="s">
        <v>557</v>
      </c>
      <c r="D167" s="10">
        <v>20</v>
      </c>
      <c r="E167" s="7" t="s">
        <v>17</v>
      </c>
      <c r="F167" s="7" t="s">
        <v>556</v>
      </c>
      <c r="G167" s="7" t="s">
        <v>14</v>
      </c>
      <c r="H167" s="10" t="s">
        <v>558</v>
      </c>
      <c r="I167" s="10"/>
      <c r="J167" s="46" t="s">
        <v>559</v>
      </c>
      <c r="K167" s="7"/>
      <c r="L167" s="7" t="s">
        <v>560</v>
      </c>
      <c r="M167" s="7"/>
      <c r="N167" s="7"/>
      <c r="O167" s="7"/>
      <c r="P167" s="7"/>
      <c r="Q167" s="7"/>
      <c r="R167" s="7"/>
      <c r="S167" s="7"/>
      <c r="T167" s="7"/>
      <c r="U167" s="7"/>
      <c r="V167" s="7">
        <v>14500</v>
      </c>
      <c r="W167" s="7"/>
      <c r="X167" s="36"/>
      <c r="Y167" s="36"/>
      <c r="Z167" s="36"/>
      <c r="AA167" s="7"/>
      <c r="AB167" s="36"/>
      <c r="AC167" s="36"/>
      <c r="AD167" s="36"/>
      <c r="AE167" s="36"/>
      <c r="AF167" s="7"/>
      <c r="AG167" s="36"/>
      <c r="AH167" s="41">
        <f>V167+X167+Y167+Z167+AA167+AB167+AC167+AD167+AE167+AF167+AG167</f>
        <v>14500</v>
      </c>
      <c r="AI167" s="41">
        <f>AH167/1.05</f>
        <v>13809.523809523809</v>
      </c>
      <c r="AJ167" s="42">
        <f>AI167-Y3</f>
        <v>13767.666666666666</v>
      </c>
      <c r="AK167" s="42">
        <f>AH167*1.05</f>
        <v>15225</v>
      </c>
      <c r="AL167" s="14">
        <f>AH167*1.1</f>
        <v>15950.000000000002</v>
      </c>
      <c r="AM167" s="14">
        <f>AH167*1.15</f>
        <v>16675</v>
      </c>
      <c r="AN167" s="14">
        <f>AH167*1.25</f>
        <v>18125</v>
      </c>
    </row>
    <row r="168" spans="1:40" x14ac:dyDescent="0.25">
      <c r="B168" s="2"/>
      <c r="C168" s="4"/>
      <c r="D168" s="5"/>
      <c r="E168" s="3"/>
      <c r="F168" s="3"/>
      <c r="G168" s="3"/>
      <c r="H168" s="5"/>
      <c r="I168" s="5"/>
      <c r="J168" s="1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5"/>
      <c r="Y168" s="35"/>
      <c r="Z168" s="35"/>
      <c r="AA168" s="3"/>
      <c r="AB168" s="35"/>
      <c r="AC168" s="35"/>
      <c r="AD168" s="35"/>
      <c r="AE168" s="35"/>
      <c r="AF168" s="3"/>
      <c r="AG168" s="35"/>
      <c r="AH168" s="42"/>
      <c r="AI168" s="42"/>
      <c r="AJ168" s="42"/>
      <c r="AK168" s="42"/>
      <c r="AL168" s="3"/>
      <c r="AM168" s="3"/>
      <c r="AN168" s="23"/>
    </row>
    <row r="169" spans="1:40" x14ac:dyDescent="0.25">
      <c r="B169" s="61" t="s">
        <v>515</v>
      </c>
      <c r="C169" s="40"/>
      <c r="D169" s="40"/>
      <c r="E169" s="40"/>
      <c r="F169" s="40"/>
      <c r="G169" s="40"/>
      <c r="H169" s="81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34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</row>
    <row r="170" spans="1:40" ht="45" x14ac:dyDescent="0.25">
      <c r="B170" s="6" t="s">
        <v>516</v>
      </c>
      <c r="C170" s="8" t="s">
        <v>517</v>
      </c>
      <c r="D170" s="10"/>
      <c r="E170" s="7" t="s">
        <v>518</v>
      </c>
      <c r="F170" s="7" t="s">
        <v>519</v>
      </c>
      <c r="G170" s="7" t="s">
        <v>14</v>
      </c>
      <c r="H170" s="10">
        <v>64319127515</v>
      </c>
      <c r="I170" s="46" t="s">
        <v>688</v>
      </c>
      <c r="J170" s="46" t="s">
        <v>520</v>
      </c>
      <c r="K170" s="7" t="s">
        <v>522</v>
      </c>
      <c r="L170" s="7" t="s">
        <v>521</v>
      </c>
      <c r="M170" s="7"/>
      <c r="N170" s="7">
        <v>31</v>
      </c>
      <c r="O170" s="7">
        <v>1</v>
      </c>
      <c r="P170" s="7">
        <v>0</v>
      </c>
      <c r="Q170" s="7">
        <f>(N170*O170)+P170</f>
        <v>31</v>
      </c>
      <c r="R170" s="74">
        <f>U4</f>
        <v>689.28571428571422</v>
      </c>
      <c r="S170" s="74">
        <f>R170/Q170</f>
        <v>22.235023041474651</v>
      </c>
      <c r="T170" s="7">
        <v>4</v>
      </c>
      <c r="U170" s="75">
        <f>T170+S170</f>
        <v>26.235023041474651</v>
      </c>
      <c r="V170" s="7">
        <v>1995</v>
      </c>
      <c r="W170" s="7"/>
      <c r="X170" s="36">
        <f>X3/1</f>
        <v>427.27272727272725</v>
      </c>
      <c r="Y170" s="36">
        <f>Y3</f>
        <v>41.857142857142854</v>
      </c>
      <c r="Z170" s="36">
        <f>Z3*1.5</f>
        <v>5.625</v>
      </c>
      <c r="AA170" s="7">
        <f>AA2*2</f>
        <v>300</v>
      </c>
      <c r="AB170" s="36">
        <f>U170*2.1</f>
        <v>55.093548387096767</v>
      </c>
      <c r="AC170" s="36"/>
      <c r="AD170" s="36"/>
      <c r="AE170" s="36">
        <f>AE3</f>
        <v>40</v>
      </c>
      <c r="AF170" s="36">
        <f>AF3</f>
        <v>32</v>
      </c>
      <c r="AG170" s="36">
        <f>AG3*1.2</f>
        <v>516</v>
      </c>
      <c r="AH170" s="41">
        <f>V170+X170+Y170+Z170+AA170+AB170+AC170+AD170+AE170+AF170+AG170</f>
        <v>3412.8484185169664</v>
      </c>
      <c r="AI170" s="41">
        <f>AH170/1.05</f>
        <v>3250.3318271590156</v>
      </c>
      <c r="AJ170" s="42">
        <f>AI170-Y3</f>
        <v>3208.4746843018729</v>
      </c>
      <c r="AK170" s="42">
        <f>AH170*1.05</f>
        <v>3583.4908394428148</v>
      </c>
      <c r="AL170" s="14">
        <f>AH170*1.1</f>
        <v>3754.1332603686633</v>
      </c>
      <c r="AM170" s="14">
        <f>AH170*1.15</f>
        <v>3924.7756812945108</v>
      </c>
      <c r="AN170" s="14">
        <f>AH170*1.25</f>
        <v>4266.0605231462077</v>
      </c>
    </row>
    <row r="171" spans="1:40" x14ac:dyDescent="0.25">
      <c r="B171" s="6"/>
      <c r="C171" s="8"/>
      <c r="D171" s="10"/>
      <c r="E171" s="7"/>
      <c r="F171" s="7"/>
      <c r="G171" s="7"/>
      <c r="H171" s="10"/>
      <c r="I171" s="10"/>
      <c r="J171" s="4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36"/>
      <c r="Y171" s="36"/>
      <c r="Z171" s="36"/>
      <c r="AA171" s="7"/>
      <c r="AB171" s="36"/>
      <c r="AC171" s="36"/>
      <c r="AD171" s="36"/>
      <c r="AE171" s="36"/>
      <c r="AF171" s="7"/>
      <c r="AG171" s="36"/>
      <c r="AH171" s="41"/>
      <c r="AI171" s="41"/>
      <c r="AJ171" s="42"/>
      <c r="AK171" s="42"/>
      <c r="AL171" s="7"/>
      <c r="AM171" s="7"/>
      <c r="AN171" s="14"/>
    </row>
  </sheetData>
  <phoneticPr fontId="10" type="noConversion"/>
  <pageMargins left="0" right="0" top="0" bottom="0" header="0" footer="0"/>
  <pageSetup paperSize="9" scale="2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Iris</cp:lastModifiedBy>
  <cp:lastPrinted>2025-04-22T01:36:55Z</cp:lastPrinted>
  <dcterms:created xsi:type="dcterms:W3CDTF">2022-06-30T00:47:13Z</dcterms:created>
  <dcterms:modified xsi:type="dcterms:W3CDTF">2025-10-08T15:53:13Z</dcterms:modified>
</cp:coreProperties>
</file>